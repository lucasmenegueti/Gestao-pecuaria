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s\gestao-pecuaria\kml\"/>
    </mc:Choice>
  </mc:AlternateContent>
  <xr:revisionPtr revIDLastSave="0" documentId="8_{6C75FF59-91AB-444D-97D9-B705ECE42A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banho por Piquete" sheetId="1" r:id="rId1"/>
    <sheet name="Sumario" sheetId="2" r:id="rId2"/>
    <sheet name="Por Categoria" sheetId="3" r:id="rId3"/>
  </sheets>
  <definedNames>
    <definedName name="_xlnm._FilterDatabase" localSheetId="0" hidden="1">'Rebanho por Piquete'!$A$1:$J$148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C7" i="3" s="1"/>
  <c r="C8" i="3"/>
  <c r="C5" i="3"/>
  <c r="C4" i="3"/>
  <c r="C3" i="3"/>
  <c r="C2" i="3"/>
  <c r="E4" i="2"/>
  <c r="F4" i="2" s="1"/>
  <c r="D4" i="2"/>
  <c r="C4" i="2"/>
  <c r="B4" i="2"/>
  <c r="F3" i="2"/>
  <c r="F2" i="2"/>
  <c r="I149" i="1"/>
  <c r="H149" i="1"/>
  <c r="D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6" i="3" l="1"/>
</calcChain>
</file>

<file path=xl/sharedStrings.xml><?xml version="1.0" encoding="utf-8"?>
<sst xmlns="http://schemas.openxmlformats.org/spreadsheetml/2006/main" count="531" uniqueCount="164">
  <si>
    <t>Retiro</t>
  </si>
  <si>
    <t>Piquete</t>
  </si>
  <si>
    <t>Categoria</t>
  </si>
  <si>
    <t>Cabecas</t>
  </si>
  <si>
    <t>Peso visual (kg)</t>
  </si>
  <si>
    <t>Peso projetado (kg)</t>
  </si>
  <si>
    <t>Data pesagem</t>
  </si>
  <si>
    <t>Area (ha)</t>
  </si>
  <si>
    <t>Lotacao (cab/ha)</t>
  </si>
  <si>
    <t>IdPasto</t>
  </si>
  <si>
    <t>NSA I</t>
  </si>
  <si>
    <t>P01 - T32</t>
  </si>
  <si>
    <t>(vazio)</t>
  </si>
  <si>
    <t>P01 T35</t>
  </si>
  <si>
    <t>P02 - T32</t>
  </si>
  <si>
    <t>P02 T35</t>
  </si>
  <si>
    <t>P03 - T32</t>
  </si>
  <si>
    <t>NOVILHA</t>
  </si>
  <si>
    <t>2026-04-07</t>
  </si>
  <si>
    <t>P03 T35</t>
  </si>
  <si>
    <t>P04 - T32</t>
  </si>
  <si>
    <t>P04 T35</t>
  </si>
  <si>
    <t>P05 T32</t>
  </si>
  <si>
    <t>P05 T35</t>
  </si>
  <si>
    <t>P06 - T32</t>
  </si>
  <si>
    <t>GARROTE</t>
  </si>
  <si>
    <t>2026-03-27</t>
  </si>
  <si>
    <t>P06 T35</t>
  </si>
  <si>
    <t>P07 - T32</t>
  </si>
  <si>
    <t>P07 T35</t>
  </si>
  <si>
    <t>P08 - P32</t>
  </si>
  <si>
    <t>2025-08-09</t>
  </si>
  <si>
    <t>P08 T35</t>
  </si>
  <si>
    <t>P09 - T32</t>
  </si>
  <si>
    <t>P09 T35</t>
  </si>
  <si>
    <t>P10 - T32</t>
  </si>
  <si>
    <t>P10 T35</t>
  </si>
  <si>
    <t>P11</t>
  </si>
  <si>
    <t>VACA PARIDA</t>
  </si>
  <si>
    <t>2025-05-31</t>
  </si>
  <si>
    <t>BEZERRO MAMANDO</t>
  </si>
  <si>
    <t>BEZERRA MAMANDO</t>
  </si>
  <si>
    <t>P11 - T32</t>
  </si>
  <si>
    <t>P11 T35</t>
  </si>
  <si>
    <t>P11A</t>
  </si>
  <si>
    <t>P12</t>
  </si>
  <si>
    <t>P12 - T32</t>
  </si>
  <si>
    <t>P12 A</t>
  </si>
  <si>
    <t>P12 T35</t>
  </si>
  <si>
    <t>P13</t>
  </si>
  <si>
    <t>2026-03-28</t>
  </si>
  <si>
    <t>P13 - T32</t>
  </si>
  <si>
    <t>P13 T35</t>
  </si>
  <si>
    <t>P14</t>
  </si>
  <si>
    <t>P14 - T32</t>
  </si>
  <si>
    <t>P14 T35</t>
  </si>
  <si>
    <t>P14A</t>
  </si>
  <si>
    <t>P15</t>
  </si>
  <si>
    <t>P15 - T32</t>
  </si>
  <si>
    <t>P15 A</t>
  </si>
  <si>
    <t>P15 T35</t>
  </si>
  <si>
    <t>P16</t>
  </si>
  <si>
    <t>P16 - T32</t>
  </si>
  <si>
    <t>P16 T35</t>
  </si>
  <si>
    <t>P17</t>
  </si>
  <si>
    <t>P17 T35</t>
  </si>
  <si>
    <t>P18</t>
  </si>
  <si>
    <t>VACA SOLTEIRA</t>
  </si>
  <si>
    <t>2025-08-26</t>
  </si>
  <si>
    <t>P18 A</t>
  </si>
  <si>
    <t>P18 T35</t>
  </si>
  <si>
    <t>P19</t>
  </si>
  <si>
    <t>P19 A</t>
  </si>
  <si>
    <t>P19 T35</t>
  </si>
  <si>
    <t>P20</t>
  </si>
  <si>
    <t>P20 A</t>
  </si>
  <si>
    <t>P20 T35</t>
  </si>
  <si>
    <t>P21</t>
  </si>
  <si>
    <t>P21 T35</t>
  </si>
  <si>
    <t>P22</t>
  </si>
  <si>
    <t>P22 T35</t>
  </si>
  <si>
    <t>P23</t>
  </si>
  <si>
    <t>P23 A</t>
  </si>
  <si>
    <t>P23 T35</t>
  </si>
  <si>
    <t>P24 - T34</t>
  </si>
  <si>
    <t>P24 T35</t>
  </si>
  <si>
    <t>P24A - T34</t>
  </si>
  <si>
    <t>P25 - T34</t>
  </si>
  <si>
    <t>P25A - T34</t>
  </si>
  <si>
    <t>P26 - T34</t>
  </si>
  <si>
    <t>P26A - T34</t>
  </si>
  <si>
    <t>P27 - T34</t>
  </si>
  <si>
    <t>P27A - T34</t>
  </si>
  <si>
    <t>P28 - T34</t>
  </si>
  <si>
    <t>P28A - T34</t>
  </si>
  <si>
    <t>P29 - T34</t>
  </si>
  <si>
    <t>P29A - T34</t>
  </si>
  <si>
    <t>P30 - T34</t>
  </si>
  <si>
    <t>P30A - T34</t>
  </si>
  <si>
    <t>2025-08-05</t>
  </si>
  <si>
    <t>P31 - T34</t>
  </si>
  <si>
    <t>P31A - T34</t>
  </si>
  <si>
    <t>P46</t>
  </si>
  <si>
    <t>P47</t>
  </si>
  <si>
    <t>P50</t>
  </si>
  <si>
    <t>P51</t>
  </si>
  <si>
    <t>P52</t>
  </si>
  <si>
    <t>2024-01-09</t>
  </si>
  <si>
    <t>P53</t>
  </si>
  <si>
    <t>P54</t>
  </si>
  <si>
    <t>2025-08-25</t>
  </si>
  <si>
    <t>P55</t>
  </si>
  <si>
    <t>P56</t>
  </si>
  <si>
    <t>P57</t>
  </si>
  <si>
    <t>VACA PRENHA</t>
  </si>
  <si>
    <t>P58</t>
  </si>
  <si>
    <t>P59</t>
  </si>
  <si>
    <t>P71</t>
  </si>
  <si>
    <t>2026-04-06</t>
  </si>
  <si>
    <t>P71A</t>
  </si>
  <si>
    <t>2025-08-12</t>
  </si>
  <si>
    <t>P72</t>
  </si>
  <si>
    <t>P72A</t>
  </si>
  <si>
    <t>P73</t>
  </si>
  <si>
    <t>P73A</t>
  </si>
  <si>
    <t>P74</t>
  </si>
  <si>
    <t>P74A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</si>
  <si>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</si>
  <si>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</si>
  <si>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</si>
  <si>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</si>
  <si>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</si>
  <si>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</si>
  <si>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</si>
  <si>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</si>
  <si>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</si>
  <si>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</si>
  <si>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</si>
  <si>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PItalia</t>
  </si>
  <si>
    <t>NSA II</t>
  </si>
  <si>
    <t>P13 - T27</t>
  </si>
  <si>
    <t>P14 - T27</t>
  </si>
  <si>
    <t>P15B - T27</t>
  </si>
  <si>
    <t>P16A - T27</t>
  </si>
  <si>
    <t>P17A - T27</t>
  </si>
  <si>
    <t>P18B - T27</t>
  </si>
  <si>
    <t>P19B - T27</t>
  </si>
  <si>
    <t>P20B - T27</t>
  </si>
  <si>
    <t>P21B - T27</t>
  </si>
  <si>
    <t>2025-08-11</t>
  </si>
  <si>
    <t>P22B - T27</t>
  </si>
  <si>
    <t>P23B - T27</t>
  </si>
  <si>
    <t>P24B - T27</t>
  </si>
  <si>
    <t>P25B - T27</t>
  </si>
  <si>
    <t>P26B - T27</t>
  </si>
  <si>
    <t>2026-04-02</t>
  </si>
  <si>
    <t>P27B - T27</t>
  </si>
  <si>
    <t>P28B - T27</t>
  </si>
  <si>
    <t>TOTAL</t>
  </si>
  <si>
    <t># Piquetes</t>
  </si>
  <si>
    <t># Piquetes ocupados</t>
  </si>
  <si>
    <t>Area total (ha)</t>
  </si>
  <si>
    <t>Lotacao media (cab/ha)</t>
  </si>
  <si>
    <t>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</si>
</sst>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64" fontId="3" fillId="3" borderId="1" xfId="0" applyNumberFormat="1" applyFont="1" applyFill="1" applyBorder="1"/>
    <xf numFmtId="4" fontId="3" fillId="3" borderId="1" xfId="0" applyNumberFormat="1" applyFont="1" applyFill="1" applyBorder="1"/>
    <xf numFmtId="165" fontId="2" fillId="0" borderId="1" xfId="0" applyNumberFormat="1" applyFont="1" applyBorder="1"/>
    <xf numFmtId="165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20" customWidth="1"/>
    <col min="4" max="4" width="10" customWidth="1"/>
    <col min="5" max="5" width="14" customWidth="1"/>
    <col min="6" max="6" width="16" customWidth="1"/>
    <col min="7" max="7" width="14" customWidth="1"/>
    <col min="8" max="8" width="12" customWidth="1"/>
    <col min="9" max="9" width="15" customWidth="1"/>
    <col min="10" max="10" width="10" customWidth="1"/>
  </cols>
  <sheetData>
    <row r="1" spans="1:10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0</v>
      </c>
      <c r="E2" s="3"/>
      <c r="F2" s="3"/>
      <c r="G2" s="2"/>
      <c r="H2" s="4">
        <v>14.14</v>
      </c>
      <c r="I2" s="5">
        <f t="shared" ref="I2:I33" si="0">IF(OR(H2=0,H2=""),"",D2/H2)</f>
        <v>0</v>
      </c>
      <c r="J2" s="2">
        <v>109786</v>
      </c>
    </row>
    <row r="3" spans="1:10" x14ac:dyDescent="0.3">
      <c r="A3" s="2" t="s">
        <v>10</v>
      </c>
      <c r="B3" s="2" t="s">
        <v>13</v>
      </c>
      <c r="C3" s="2" t="s">
        <v>12</v>
      </c>
      <c r="D3" s="3">
        <v>0</v>
      </c>
      <c r="E3" s="3"/>
      <c r="F3" s="3"/>
      <c r="G3" s="2"/>
      <c r="H3" s="4">
        <v>12.03</v>
      </c>
      <c r="I3" s="5">
        <f t="shared" si="0"/>
        <v>0</v>
      </c>
      <c r="J3" s="2">
        <v>100944</v>
      </c>
    </row>
    <row r="4" spans="1:10" x14ac:dyDescent="0.3">
      <c r="A4" s="2" t="s">
        <v>10</v>
      </c>
      <c r="B4" s="2" t="s">
        <v>14</v>
      </c>
      <c r="C4" s="2" t="s">
        <v>12</v>
      </c>
      <c r="D4" s="3">
        <v>0</v>
      </c>
      <c r="E4" s="3"/>
      <c r="F4" s="3"/>
      <c r="G4" s="2"/>
      <c r="H4" s="4">
        <v>13.58</v>
      </c>
      <c r="I4" s="5">
        <f t="shared" si="0"/>
        <v>0</v>
      </c>
      <c r="J4" s="2">
        <v>109787</v>
      </c>
    </row>
    <row r="5" spans="1:10" x14ac:dyDescent="0.3">
      <c r="A5" s="2" t="s">
        <v>10</v>
      </c>
      <c r="B5" s="2" t="s">
        <v>15</v>
      </c>
      <c r="C5" s="2" t="s">
        <v>12</v>
      </c>
      <c r="D5" s="3">
        <v>0</v>
      </c>
      <c r="E5" s="3"/>
      <c r="F5" s="3"/>
      <c r="G5" s="2"/>
      <c r="H5" s="4">
        <v>11.35</v>
      </c>
      <c r="I5" s="5">
        <f t="shared" si="0"/>
        <v>0</v>
      </c>
      <c r="J5" s="2">
        <v>100945</v>
      </c>
    </row>
    <row r="6" spans="1:10" x14ac:dyDescent="0.3">
      <c r="A6" s="2" t="s">
        <v>10</v>
      </c>
      <c r="B6" s="2" t="s">
        <v>16</v>
      </c>
      <c r="C6" s="2" t="s">
        <v>17</v>
      </c>
      <c r="D6" s="3">
        <v>61</v>
      </c>
      <c r="E6" s="3">
        <v>198</v>
      </c>
      <c r="F6" s="3"/>
      <c r="G6" s="2" t="s">
        <v>18</v>
      </c>
      <c r="H6" s="4">
        <v>13.99</v>
      </c>
      <c r="I6" s="5">
        <f t="shared" si="0"/>
        <v>4.3602573266619009</v>
      </c>
      <c r="J6" s="2">
        <v>109789</v>
      </c>
    </row>
    <row r="7" spans="1:10" x14ac:dyDescent="0.3">
      <c r="A7" s="2" t="s">
        <v>10</v>
      </c>
      <c r="B7" s="2" t="s">
        <v>19</v>
      </c>
      <c r="C7" s="2" t="s">
        <v>12</v>
      </c>
      <c r="D7" s="3">
        <v>0</v>
      </c>
      <c r="E7" s="3"/>
      <c r="F7" s="3"/>
      <c r="G7" s="2"/>
      <c r="H7" s="4">
        <v>10.86</v>
      </c>
      <c r="I7" s="5">
        <f t="shared" si="0"/>
        <v>0</v>
      </c>
      <c r="J7" s="2">
        <v>100946</v>
      </c>
    </row>
    <row r="8" spans="1:10" x14ac:dyDescent="0.3">
      <c r="A8" s="2" t="s">
        <v>10</v>
      </c>
      <c r="B8" s="2" t="s">
        <v>20</v>
      </c>
      <c r="C8" s="2" t="s">
        <v>12</v>
      </c>
      <c r="D8" s="3">
        <v>0</v>
      </c>
      <c r="E8" s="3"/>
      <c r="F8" s="3"/>
      <c r="G8" s="2"/>
      <c r="H8" s="4">
        <v>13.35</v>
      </c>
      <c r="I8" s="5">
        <f t="shared" si="0"/>
        <v>0</v>
      </c>
      <c r="J8" s="2">
        <v>109790</v>
      </c>
    </row>
    <row r="9" spans="1:10" x14ac:dyDescent="0.3">
      <c r="A9" s="2" t="s">
        <v>10</v>
      </c>
      <c r="B9" s="2" t="s">
        <v>21</v>
      </c>
      <c r="C9" s="2" t="s">
        <v>12</v>
      </c>
      <c r="D9" s="3">
        <v>0</v>
      </c>
      <c r="E9" s="3"/>
      <c r="F9" s="3"/>
      <c r="G9" s="2"/>
      <c r="H9" s="4">
        <v>10.24</v>
      </c>
      <c r="I9" s="5">
        <f t="shared" si="0"/>
        <v>0</v>
      </c>
      <c r="J9" s="2">
        <v>100947</v>
      </c>
    </row>
    <row r="10" spans="1:10" x14ac:dyDescent="0.3">
      <c r="A10" s="2" t="s">
        <v>10</v>
      </c>
      <c r="B10" s="2" t="s">
        <v>22</v>
      </c>
      <c r="C10" s="2" t="s">
        <v>12</v>
      </c>
      <c r="D10" s="3">
        <v>0</v>
      </c>
      <c r="E10" s="3"/>
      <c r="F10" s="3"/>
      <c r="G10" s="2"/>
      <c r="H10" s="4">
        <v>13.66</v>
      </c>
      <c r="I10" s="5">
        <f t="shared" si="0"/>
        <v>0</v>
      </c>
      <c r="J10" s="2">
        <v>109794</v>
      </c>
    </row>
    <row r="11" spans="1:10" x14ac:dyDescent="0.3">
      <c r="A11" s="2" t="s">
        <v>10</v>
      </c>
      <c r="B11" s="2" t="s">
        <v>23</v>
      </c>
      <c r="C11" s="2" t="s">
        <v>12</v>
      </c>
      <c r="D11" s="3">
        <v>0</v>
      </c>
      <c r="E11" s="3"/>
      <c r="F11" s="3"/>
      <c r="G11" s="2"/>
      <c r="H11" s="4">
        <v>12.33</v>
      </c>
      <c r="I11" s="5">
        <f t="shared" si="0"/>
        <v>0</v>
      </c>
      <c r="J11" s="2">
        <v>100948</v>
      </c>
    </row>
    <row r="12" spans="1:10" x14ac:dyDescent="0.3">
      <c r="A12" s="2" t="s">
        <v>10</v>
      </c>
      <c r="B12" s="2" t="s">
        <v>24</v>
      </c>
      <c r="C12" s="2" t="s">
        <v>25</v>
      </c>
      <c r="D12" s="3">
        <v>110</v>
      </c>
      <c r="E12" s="3">
        <v>375</v>
      </c>
      <c r="F12" s="3">
        <v>391.5</v>
      </c>
      <c r="G12" s="2" t="s">
        <v>26</v>
      </c>
      <c r="H12" s="4">
        <v>13.96</v>
      </c>
      <c r="I12" s="5">
        <f t="shared" si="0"/>
        <v>7.8796561604584525</v>
      </c>
      <c r="J12" s="2">
        <v>109793</v>
      </c>
    </row>
    <row r="13" spans="1:10" x14ac:dyDescent="0.3">
      <c r="A13" s="2" t="s">
        <v>10</v>
      </c>
      <c r="B13" s="2" t="s">
        <v>27</v>
      </c>
      <c r="C13" s="2" t="s">
        <v>12</v>
      </c>
      <c r="D13" s="3">
        <v>0</v>
      </c>
      <c r="E13" s="3"/>
      <c r="F13" s="3"/>
      <c r="G13" s="2"/>
      <c r="H13" s="4">
        <v>12.09</v>
      </c>
      <c r="I13" s="5">
        <f t="shared" si="0"/>
        <v>0</v>
      </c>
      <c r="J13" s="2">
        <v>100949</v>
      </c>
    </row>
    <row r="14" spans="1:10" x14ac:dyDescent="0.3">
      <c r="A14" s="2" t="s">
        <v>10</v>
      </c>
      <c r="B14" s="2" t="s">
        <v>28</v>
      </c>
      <c r="C14" s="2" t="s">
        <v>12</v>
      </c>
      <c r="D14" s="3">
        <v>0</v>
      </c>
      <c r="E14" s="3"/>
      <c r="F14" s="3"/>
      <c r="G14" s="2"/>
      <c r="H14" s="4">
        <v>13.12</v>
      </c>
      <c r="I14" s="5">
        <f t="shared" si="0"/>
        <v>0</v>
      </c>
      <c r="J14" s="2">
        <v>109792</v>
      </c>
    </row>
    <row r="15" spans="1:10" x14ac:dyDescent="0.3">
      <c r="A15" s="2" t="s">
        <v>10</v>
      </c>
      <c r="B15" s="2" t="s">
        <v>29</v>
      </c>
      <c r="C15" s="2" t="s">
        <v>12</v>
      </c>
      <c r="D15" s="3">
        <v>0</v>
      </c>
      <c r="E15" s="3"/>
      <c r="F15" s="3"/>
      <c r="G15" s="2"/>
      <c r="H15" s="4">
        <v>12.02</v>
      </c>
      <c r="I15" s="5">
        <f t="shared" si="0"/>
        <v>0</v>
      </c>
      <c r="J15" s="2">
        <v>100950</v>
      </c>
    </row>
    <row r="16" spans="1:10" x14ac:dyDescent="0.3">
      <c r="A16" s="2" t="s">
        <v>10</v>
      </c>
      <c r="B16" s="2" t="s">
        <v>30</v>
      </c>
      <c r="C16" s="2" t="s">
        <v>25</v>
      </c>
      <c r="D16" s="3">
        <v>61</v>
      </c>
      <c r="E16" s="3">
        <v>330</v>
      </c>
      <c r="F16" s="3">
        <v>439.5</v>
      </c>
      <c r="G16" s="2" t="s">
        <v>31</v>
      </c>
      <c r="H16" s="4">
        <v>13.81</v>
      </c>
      <c r="I16" s="5">
        <f t="shared" si="0"/>
        <v>4.4170890658942792</v>
      </c>
      <c r="J16" s="2">
        <v>109791</v>
      </c>
    </row>
    <row r="17" spans="1:10" x14ac:dyDescent="0.3">
      <c r="A17" s="2" t="s">
        <v>10</v>
      </c>
      <c r="B17" s="2" t="s">
        <v>32</v>
      </c>
      <c r="C17" s="2" t="s">
        <v>12</v>
      </c>
      <c r="D17" s="3">
        <v>0</v>
      </c>
      <c r="E17" s="3"/>
      <c r="F17" s="3"/>
      <c r="G17" s="2"/>
      <c r="H17" s="4">
        <v>11.65</v>
      </c>
      <c r="I17" s="5">
        <f t="shared" si="0"/>
        <v>0</v>
      </c>
      <c r="J17" s="2">
        <v>100951</v>
      </c>
    </row>
    <row r="18" spans="1:10" x14ac:dyDescent="0.3">
      <c r="A18" s="2" t="s">
        <v>10</v>
      </c>
      <c r="B18" s="2" t="s">
        <v>33</v>
      </c>
      <c r="C18" s="2" t="s">
        <v>12</v>
      </c>
      <c r="D18" s="3">
        <v>0</v>
      </c>
      <c r="E18" s="3"/>
      <c r="F18" s="3"/>
      <c r="G18" s="2"/>
      <c r="H18" s="4">
        <v>15.42</v>
      </c>
      <c r="I18" s="5">
        <f t="shared" si="0"/>
        <v>0</v>
      </c>
      <c r="J18" s="2">
        <v>109798</v>
      </c>
    </row>
    <row r="19" spans="1:10" x14ac:dyDescent="0.3">
      <c r="A19" s="2" t="s">
        <v>10</v>
      </c>
      <c r="B19" s="2" t="s">
        <v>34</v>
      </c>
      <c r="C19" s="2" t="s">
        <v>12</v>
      </c>
      <c r="D19" s="3">
        <v>0</v>
      </c>
      <c r="E19" s="3"/>
      <c r="F19" s="3"/>
      <c r="G19" s="2"/>
      <c r="H19" s="4">
        <v>12.37</v>
      </c>
      <c r="I19" s="5">
        <f t="shared" si="0"/>
        <v>0</v>
      </c>
      <c r="J19" s="2">
        <v>100952</v>
      </c>
    </row>
    <row r="20" spans="1:10" x14ac:dyDescent="0.3">
      <c r="A20" s="2" t="s">
        <v>10</v>
      </c>
      <c r="B20" s="2" t="s">
        <v>35</v>
      </c>
      <c r="C20" s="2" t="s">
        <v>25</v>
      </c>
      <c r="D20" s="3">
        <v>77</v>
      </c>
      <c r="E20" s="3">
        <v>206</v>
      </c>
      <c r="F20" s="3"/>
      <c r="G20" s="2" t="s">
        <v>18</v>
      </c>
      <c r="H20" s="4">
        <v>13.64</v>
      </c>
      <c r="I20" s="5">
        <f t="shared" si="0"/>
        <v>5.6451612903225801</v>
      </c>
      <c r="J20" s="2">
        <v>109797</v>
      </c>
    </row>
    <row r="21" spans="1:10" x14ac:dyDescent="0.3">
      <c r="A21" s="2" t="s">
        <v>10</v>
      </c>
      <c r="B21" s="2" t="s">
        <v>36</v>
      </c>
      <c r="C21" s="2" t="s">
        <v>12</v>
      </c>
      <c r="D21" s="3">
        <v>0</v>
      </c>
      <c r="E21" s="3"/>
      <c r="F21" s="3"/>
      <c r="G21" s="2"/>
      <c r="H21" s="4">
        <v>12.21</v>
      </c>
      <c r="I21" s="5">
        <f t="shared" si="0"/>
        <v>0</v>
      </c>
      <c r="J21" s="2">
        <v>100953</v>
      </c>
    </row>
    <row r="22" spans="1:10" x14ac:dyDescent="0.3">
      <c r="A22" s="2" t="s">
        <v>10</v>
      </c>
      <c r="B22" s="2" t="s">
        <v>37</v>
      </c>
      <c r="C22" s="2" t="s">
        <v>38</v>
      </c>
      <c r="D22" s="3">
        <v>73</v>
      </c>
      <c r="E22" s="3">
        <v>450</v>
      </c>
      <c r="F22" s="3">
        <v>528.4</v>
      </c>
      <c r="G22" s="2" t="s">
        <v>39</v>
      </c>
      <c r="H22" s="4">
        <v>25.1</v>
      </c>
      <c r="I22" s="5">
        <f t="shared" si="0"/>
        <v>2.9083665338645415</v>
      </c>
      <c r="J22" s="2">
        <v>30256</v>
      </c>
    </row>
    <row r="23" spans="1:10" x14ac:dyDescent="0.3">
      <c r="A23" s="2" t="s">
        <v>10</v>
      </c>
      <c r="B23" s="2" t="s">
        <v>37</v>
      </c>
      <c r="C23" s="2" t="s">
        <v>40</v>
      </c>
      <c r="D23" s="3">
        <v>37</v>
      </c>
      <c r="E23" s="3">
        <v>95</v>
      </c>
      <c r="F23" s="3"/>
      <c r="G23" s="2" t="s">
        <v>26</v>
      </c>
      <c r="H23" s="4">
        <v>25.1</v>
      </c>
      <c r="I23" s="5">
        <f t="shared" si="0"/>
        <v>1.4741035856573705</v>
      </c>
      <c r="J23" s="2">
        <v>30256</v>
      </c>
    </row>
    <row r="24" spans="1:10" x14ac:dyDescent="0.3">
      <c r="A24" s="2" t="s">
        <v>10</v>
      </c>
      <c r="B24" s="2" t="s">
        <v>37</v>
      </c>
      <c r="C24" s="2" t="s">
        <v>41</v>
      </c>
      <c r="D24" s="3">
        <v>27</v>
      </c>
      <c r="E24" s="3">
        <v>90</v>
      </c>
      <c r="F24" s="3"/>
      <c r="G24" s="2" t="s">
        <v>26</v>
      </c>
      <c r="H24" s="4">
        <v>25.1</v>
      </c>
      <c r="I24" s="5">
        <f t="shared" si="0"/>
        <v>1.0756972111553784</v>
      </c>
      <c r="J24" s="2">
        <v>30256</v>
      </c>
    </row>
    <row r="25" spans="1:10" x14ac:dyDescent="0.3">
      <c r="A25" s="2" t="s">
        <v>10</v>
      </c>
      <c r="B25" s="2" t="s">
        <v>42</v>
      </c>
      <c r="C25" s="2" t="s">
        <v>12</v>
      </c>
      <c r="D25" s="3">
        <v>0</v>
      </c>
      <c r="E25" s="3"/>
      <c r="F25" s="3"/>
      <c r="G25" s="2"/>
      <c r="H25" s="4">
        <v>13.94</v>
      </c>
      <c r="I25" s="5">
        <f t="shared" si="0"/>
        <v>0</v>
      </c>
      <c r="J25" s="2">
        <v>109796</v>
      </c>
    </row>
    <row r="26" spans="1:10" x14ac:dyDescent="0.3">
      <c r="A26" s="2" t="s">
        <v>10</v>
      </c>
      <c r="B26" s="2" t="s">
        <v>43</v>
      </c>
      <c r="C26" s="2" t="s">
        <v>12</v>
      </c>
      <c r="D26" s="3">
        <v>0</v>
      </c>
      <c r="E26" s="3"/>
      <c r="F26" s="3"/>
      <c r="G26" s="2"/>
      <c r="H26" s="4">
        <v>12.44</v>
      </c>
      <c r="I26" s="5">
        <f t="shared" si="0"/>
        <v>0</v>
      </c>
      <c r="J26" s="2">
        <v>100954</v>
      </c>
    </row>
    <row r="27" spans="1:10" x14ac:dyDescent="0.3">
      <c r="A27" s="2" t="s">
        <v>10</v>
      </c>
      <c r="B27" s="2" t="s">
        <v>44</v>
      </c>
      <c r="C27" s="2" t="s">
        <v>38</v>
      </c>
      <c r="D27" s="3">
        <v>5</v>
      </c>
      <c r="E27" s="3">
        <v>450</v>
      </c>
      <c r="F27" s="3"/>
      <c r="G27" s="2" t="s">
        <v>26</v>
      </c>
      <c r="H27" s="4">
        <v>22.9</v>
      </c>
      <c r="I27" s="5">
        <f t="shared" si="0"/>
        <v>0.2183406113537118</v>
      </c>
      <c r="J27" s="2">
        <v>30257</v>
      </c>
    </row>
    <row r="28" spans="1:10" x14ac:dyDescent="0.3">
      <c r="A28" s="2" t="s">
        <v>10</v>
      </c>
      <c r="B28" s="2" t="s">
        <v>44</v>
      </c>
      <c r="C28" s="2" t="s">
        <v>41</v>
      </c>
      <c r="D28" s="3">
        <v>4</v>
      </c>
      <c r="E28" s="3">
        <v>100</v>
      </c>
      <c r="F28" s="3"/>
      <c r="G28" s="2" t="s">
        <v>26</v>
      </c>
      <c r="H28" s="4">
        <v>22.9</v>
      </c>
      <c r="I28" s="5">
        <f t="shared" si="0"/>
        <v>0.17467248908296945</v>
      </c>
      <c r="J28" s="2">
        <v>30257</v>
      </c>
    </row>
    <row r="29" spans="1:10" x14ac:dyDescent="0.3">
      <c r="A29" s="2" t="s">
        <v>10</v>
      </c>
      <c r="B29" s="2" t="s">
        <v>44</v>
      </c>
      <c r="C29" s="2" t="s">
        <v>40</v>
      </c>
      <c r="D29" s="3">
        <v>1</v>
      </c>
      <c r="E29" s="3">
        <v>100</v>
      </c>
      <c r="F29" s="3"/>
      <c r="G29" s="2" t="s">
        <v>26</v>
      </c>
      <c r="H29" s="4">
        <v>22.9</v>
      </c>
      <c r="I29" s="5">
        <f t="shared" si="0"/>
        <v>4.3668122270742363E-2</v>
      </c>
      <c r="J29" s="2">
        <v>30257</v>
      </c>
    </row>
    <row r="30" spans="1:10" x14ac:dyDescent="0.3">
      <c r="A30" s="2" t="s">
        <v>10</v>
      </c>
      <c r="B30" s="2" t="s">
        <v>45</v>
      </c>
      <c r="C30" s="2" t="s">
        <v>41</v>
      </c>
      <c r="D30" s="3">
        <v>13</v>
      </c>
      <c r="E30" s="3">
        <v>100</v>
      </c>
      <c r="F30" s="3"/>
      <c r="G30" s="2" t="s">
        <v>26</v>
      </c>
      <c r="H30" s="4">
        <v>40</v>
      </c>
      <c r="I30" s="5">
        <f t="shared" si="0"/>
        <v>0.32500000000000001</v>
      </c>
      <c r="J30" s="2">
        <v>11590</v>
      </c>
    </row>
    <row r="31" spans="1:10" x14ac:dyDescent="0.3">
      <c r="A31" s="2" t="s">
        <v>10</v>
      </c>
      <c r="B31" s="2" t="s">
        <v>45</v>
      </c>
      <c r="C31" s="2" t="s">
        <v>38</v>
      </c>
      <c r="D31" s="3">
        <v>11</v>
      </c>
      <c r="E31" s="3">
        <v>450</v>
      </c>
      <c r="F31" s="3"/>
      <c r="G31" s="2" t="s">
        <v>26</v>
      </c>
      <c r="H31" s="4">
        <v>40</v>
      </c>
      <c r="I31" s="5">
        <f t="shared" si="0"/>
        <v>0.27500000000000002</v>
      </c>
      <c r="J31" s="2">
        <v>11590</v>
      </c>
    </row>
    <row r="32" spans="1:10" x14ac:dyDescent="0.3">
      <c r="A32" s="2" t="s">
        <v>10</v>
      </c>
      <c r="B32" s="2" t="s">
        <v>45</v>
      </c>
      <c r="C32" s="2" t="s">
        <v>40</v>
      </c>
      <c r="D32" s="3">
        <v>4</v>
      </c>
      <c r="E32" s="3">
        <v>100</v>
      </c>
      <c r="F32" s="3"/>
      <c r="G32" s="2" t="s">
        <v>26</v>
      </c>
      <c r="H32" s="4">
        <v>40</v>
      </c>
      <c r="I32" s="5">
        <f t="shared" si="0"/>
        <v>0.1</v>
      </c>
      <c r="J32" s="2">
        <v>11590</v>
      </c>
    </row>
    <row r="33" spans="1:10" x14ac:dyDescent="0.3">
      <c r="A33" s="2" t="s">
        <v>10</v>
      </c>
      <c r="B33" s="2" t="s">
        <v>46</v>
      </c>
      <c r="C33" s="2" t="s">
        <v>12</v>
      </c>
      <c r="D33" s="3">
        <v>0</v>
      </c>
      <c r="E33" s="3"/>
      <c r="F33" s="3"/>
      <c r="G33" s="2"/>
      <c r="H33" s="4">
        <v>13.93</v>
      </c>
      <c r="I33" s="5">
        <f t="shared" si="0"/>
        <v>0</v>
      </c>
      <c r="J33" s="2">
        <v>109795</v>
      </c>
    </row>
    <row r="34" spans="1:10" x14ac:dyDescent="0.3">
      <c r="A34" s="2" t="s">
        <v>10</v>
      </c>
      <c r="B34" s="2" t="s">
        <v>47</v>
      </c>
      <c r="C34" s="2" t="s">
        <v>12</v>
      </c>
      <c r="D34" s="3">
        <v>0</v>
      </c>
      <c r="E34" s="3"/>
      <c r="F34" s="3"/>
      <c r="G34" s="2"/>
      <c r="H34" s="4">
        <v>27.5</v>
      </c>
      <c r="I34" s="5">
        <f t="shared" ref="I34:I65" si="1">IF(OR(H34=0,H34=""),"",D34/H34)</f>
        <v>0</v>
      </c>
      <c r="J34" s="2">
        <v>21788</v>
      </c>
    </row>
    <row r="35" spans="1:10" x14ac:dyDescent="0.3">
      <c r="A35" s="2" t="s">
        <v>10</v>
      </c>
      <c r="B35" s="2" t="s">
        <v>48</v>
      </c>
      <c r="C35" s="2" t="s">
        <v>12</v>
      </c>
      <c r="D35" s="3">
        <v>0</v>
      </c>
      <c r="E35" s="3"/>
      <c r="F35" s="3"/>
      <c r="G35" s="2"/>
      <c r="H35" s="4">
        <v>11.21</v>
      </c>
      <c r="I35" s="5">
        <f t="shared" si="1"/>
        <v>0</v>
      </c>
      <c r="J35" s="2">
        <v>100955</v>
      </c>
    </row>
    <row r="36" spans="1:10" x14ac:dyDescent="0.3">
      <c r="A36" s="2" t="s">
        <v>10</v>
      </c>
      <c r="B36" s="2" t="s">
        <v>49</v>
      </c>
      <c r="C36" s="2" t="s">
        <v>25</v>
      </c>
      <c r="D36" s="3">
        <v>90</v>
      </c>
      <c r="E36" s="3">
        <v>288</v>
      </c>
      <c r="F36" s="3">
        <v>303.75</v>
      </c>
      <c r="G36" s="2" t="s">
        <v>50</v>
      </c>
      <c r="H36" s="4">
        <v>59.3</v>
      </c>
      <c r="I36" s="5">
        <f t="shared" si="1"/>
        <v>1.5177065767284992</v>
      </c>
      <c r="J36" s="2">
        <v>56584</v>
      </c>
    </row>
    <row r="37" spans="1:10" x14ac:dyDescent="0.3">
      <c r="A37" s="2" t="s">
        <v>10</v>
      </c>
      <c r="B37" s="2" t="s">
        <v>51</v>
      </c>
      <c r="C37" s="2" t="s">
        <v>12</v>
      </c>
      <c r="D37" s="3">
        <v>0</v>
      </c>
      <c r="E37" s="3"/>
      <c r="F37" s="3"/>
      <c r="G37" s="2"/>
      <c r="H37" s="4">
        <v>15.27</v>
      </c>
      <c r="I37" s="5">
        <f t="shared" si="1"/>
        <v>0</v>
      </c>
      <c r="J37" s="2">
        <v>109799</v>
      </c>
    </row>
    <row r="38" spans="1:10" x14ac:dyDescent="0.3">
      <c r="A38" s="2" t="s">
        <v>10</v>
      </c>
      <c r="B38" s="2" t="s">
        <v>52</v>
      </c>
      <c r="C38" s="2" t="s">
        <v>12</v>
      </c>
      <c r="D38" s="3">
        <v>0</v>
      </c>
      <c r="E38" s="3"/>
      <c r="F38" s="3"/>
      <c r="G38" s="2"/>
      <c r="H38" s="4">
        <v>12.14</v>
      </c>
      <c r="I38" s="5">
        <f t="shared" si="1"/>
        <v>0</v>
      </c>
      <c r="J38" s="2">
        <v>100956</v>
      </c>
    </row>
    <row r="39" spans="1:10" x14ac:dyDescent="0.3">
      <c r="A39" s="2" t="s">
        <v>10</v>
      </c>
      <c r="B39" s="2" t="s">
        <v>53</v>
      </c>
      <c r="C39" s="2" t="s">
        <v>25</v>
      </c>
      <c r="D39" s="3">
        <v>71</v>
      </c>
      <c r="E39" s="3">
        <v>300</v>
      </c>
      <c r="F39" s="3">
        <v>315.75</v>
      </c>
      <c r="G39" s="2" t="s">
        <v>50</v>
      </c>
      <c r="H39" s="4">
        <v>21</v>
      </c>
      <c r="I39" s="5">
        <f t="shared" si="1"/>
        <v>3.3809523809523809</v>
      </c>
      <c r="J39" s="2">
        <v>30258</v>
      </c>
    </row>
    <row r="40" spans="1:10" x14ac:dyDescent="0.3">
      <c r="A40" s="2" t="s">
        <v>10</v>
      </c>
      <c r="B40" s="2" t="s">
        <v>54</v>
      </c>
      <c r="C40" s="2" t="s">
        <v>25</v>
      </c>
      <c r="D40" s="3">
        <v>74</v>
      </c>
      <c r="E40" s="3">
        <v>180</v>
      </c>
      <c r="F40" s="3"/>
      <c r="G40" s="2" t="s">
        <v>18</v>
      </c>
      <c r="H40" s="4">
        <v>15.67</v>
      </c>
      <c r="I40" s="5">
        <f t="shared" si="1"/>
        <v>4.7223994894703258</v>
      </c>
      <c r="J40" s="2">
        <v>109800</v>
      </c>
    </row>
    <row r="41" spans="1:10" x14ac:dyDescent="0.3">
      <c r="A41" s="2" t="s">
        <v>10</v>
      </c>
      <c r="B41" s="2" t="s">
        <v>55</v>
      </c>
      <c r="C41" s="2" t="s">
        <v>12</v>
      </c>
      <c r="D41" s="3">
        <v>0</v>
      </c>
      <c r="E41" s="3"/>
      <c r="F41" s="3"/>
      <c r="G41" s="2"/>
      <c r="H41" s="4">
        <v>11.28</v>
      </c>
      <c r="I41" s="5">
        <f t="shared" si="1"/>
        <v>0</v>
      </c>
      <c r="J41" s="2">
        <v>100957</v>
      </c>
    </row>
    <row r="42" spans="1:10" x14ac:dyDescent="0.3">
      <c r="A42" s="2" t="s">
        <v>10</v>
      </c>
      <c r="B42" s="2" t="s">
        <v>56</v>
      </c>
      <c r="C42" s="2" t="s">
        <v>25</v>
      </c>
      <c r="D42" s="3">
        <v>102</v>
      </c>
      <c r="E42" s="3">
        <v>254</v>
      </c>
      <c r="F42" s="3">
        <v>269.75</v>
      </c>
      <c r="G42" s="2" t="s">
        <v>50</v>
      </c>
      <c r="H42" s="4">
        <v>19.899999999999999</v>
      </c>
      <c r="I42" s="5">
        <f t="shared" si="1"/>
        <v>5.125628140703518</v>
      </c>
      <c r="J42" s="2">
        <v>30259</v>
      </c>
    </row>
    <row r="43" spans="1:10" x14ac:dyDescent="0.3">
      <c r="A43" s="2" t="s">
        <v>10</v>
      </c>
      <c r="B43" s="2" t="s">
        <v>57</v>
      </c>
      <c r="C43" s="2" t="s">
        <v>25</v>
      </c>
      <c r="D43" s="3">
        <v>90</v>
      </c>
      <c r="E43" s="3">
        <v>273</v>
      </c>
      <c r="F43" s="3">
        <v>288.75</v>
      </c>
      <c r="G43" s="2" t="s">
        <v>50</v>
      </c>
      <c r="H43" s="4">
        <v>29.3</v>
      </c>
      <c r="I43" s="5">
        <f t="shared" si="1"/>
        <v>3.0716723549488054</v>
      </c>
      <c r="J43" s="2">
        <v>11594</v>
      </c>
    </row>
    <row r="44" spans="1:10" x14ac:dyDescent="0.3">
      <c r="A44" s="2" t="s">
        <v>10</v>
      </c>
      <c r="B44" s="2" t="s">
        <v>58</v>
      </c>
      <c r="C44" s="2" t="s">
        <v>25</v>
      </c>
      <c r="D44" s="3">
        <v>107</v>
      </c>
      <c r="E44" s="3">
        <v>338</v>
      </c>
      <c r="F44" s="3">
        <v>354.5</v>
      </c>
      <c r="G44" s="2" t="s">
        <v>26</v>
      </c>
      <c r="H44" s="4">
        <v>17.010000000000002</v>
      </c>
      <c r="I44" s="5">
        <f t="shared" si="1"/>
        <v>6.2904174015285124</v>
      </c>
      <c r="J44" s="2">
        <v>109801</v>
      </c>
    </row>
    <row r="45" spans="1:10" x14ac:dyDescent="0.3">
      <c r="A45" s="2" t="s">
        <v>10</v>
      </c>
      <c r="B45" s="2" t="s">
        <v>59</v>
      </c>
      <c r="C45" s="2" t="s">
        <v>25</v>
      </c>
      <c r="D45" s="3">
        <v>93</v>
      </c>
      <c r="E45" s="3">
        <v>216</v>
      </c>
      <c r="F45" s="3">
        <v>231.75</v>
      </c>
      <c r="G45" s="2" t="s">
        <v>50</v>
      </c>
      <c r="H45" s="4">
        <v>31</v>
      </c>
      <c r="I45" s="5">
        <f t="shared" si="1"/>
        <v>3</v>
      </c>
      <c r="J45" s="2">
        <v>21789</v>
      </c>
    </row>
    <row r="46" spans="1:10" x14ac:dyDescent="0.3">
      <c r="A46" s="2" t="s">
        <v>10</v>
      </c>
      <c r="B46" s="2" t="s">
        <v>60</v>
      </c>
      <c r="C46" s="2" t="s">
        <v>12</v>
      </c>
      <c r="D46" s="3">
        <v>0</v>
      </c>
      <c r="E46" s="3"/>
      <c r="F46" s="3"/>
      <c r="G46" s="2"/>
      <c r="H46" s="4">
        <v>10.63</v>
      </c>
      <c r="I46" s="5">
        <f t="shared" si="1"/>
        <v>0</v>
      </c>
      <c r="J46" s="2">
        <v>100958</v>
      </c>
    </row>
    <row r="47" spans="1:10" x14ac:dyDescent="0.3">
      <c r="A47" s="2" t="s">
        <v>10</v>
      </c>
      <c r="B47" s="2" t="s">
        <v>61</v>
      </c>
      <c r="C47" s="2" t="s">
        <v>17</v>
      </c>
      <c r="D47" s="3">
        <v>89</v>
      </c>
      <c r="E47" s="3">
        <v>319</v>
      </c>
      <c r="F47" s="3">
        <v>329.5</v>
      </c>
      <c r="G47" s="2" t="s">
        <v>50</v>
      </c>
      <c r="H47" s="4">
        <v>50.3</v>
      </c>
      <c r="I47" s="5">
        <f t="shared" si="1"/>
        <v>1.7693836978131214</v>
      </c>
      <c r="J47" s="2">
        <v>11595</v>
      </c>
    </row>
    <row r="48" spans="1:10" x14ac:dyDescent="0.3">
      <c r="A48" s="2" t="s">
        <v>10</v>
      </c>
      <c r="B48" s="2" t="s">
        <v>62</v>
      </c>
      <c r="C48" s="2" t="s">
        <v>12</v>
      </c>
      <c r="D48" s="3">
        <v>0</v>
      </c>
      <c r="E48" s="3"/>
      <c r="F48" s="3"/>
      <c r="G48" s="2"/>
      <c r="H48" s="4">
        <v>14.34</v>
      </c>
      <c r="I48" s="5">
        <f t="shared" si="1"/>
        <v>0</v>
      </c>
      <c r="J48" s="2">
        <v>109804</v>
      </c>
    </row>
    <row r="49" spans="1:10" x14ac:dyDescent="0.3">
      <c r="A49" s="2" t="s">
        <v>10</v>
      </c>
      <c r="B49" s="2" t="s">
        <v>63</v>
      </c>
      <c r="C49" s="2" t="s">
        <v>12</v>
      </c>
      <c r="D49" s="3">
        <v>0</v>
      </c>
      <c r="E49" s="3"/>
      <c r="F49" s="3"/>
      <c r="G49" s="2"/>
      <c r="H49" s="4">
        <v>9.3000000000000007</v>
      </c>
      <c r="I49" s="5">
        <f t="shared" si="1"/>
        <v>0</v>
      </c>
      <c r="J49" s="2">
        <v>100959</v>
      </c>
    </row>
    <row r="50" spans="1:10" x14ac:dyDescent="0.3">
      <c r="A50" s="2" t="s">
        <v>10</v>
      </c>
      <c r="B50" s="2" t="s">
        <v>64</v>
      </c>
      <c r="C50" s="2" t="s">
        <v>17</v>
      </c>
      <c r="D50" s="3">
        <v>84</v>
      </c>
      <c r="E50" s="3">
        <v>254</v>
      </c>
      <c r="F50" s="3">
        <v>264.5</v>
      </c>
      <c r="G50" s="2" t="s">
        <v>50</v>
      </c>
      <c r="H50" s="4">
        <v>45</v>
      </c>
      <c r="I50" s="5">
        <f t="shared" si="1"/>
        <v>1.8666666666666667</v>
      </c>
      <c r="J50" s="2">
        <v>11596</v>
      </c>
    </row>
    <row r="51" spans="1:10" x14ac:dyDescent="0.3">
      <c r="A51" s="2" t="s">
        <v>10</v>
      </c>
      <c r="B51" s="2" t="s">
        <v>65</v>
      </c>
      <c r="C51" s="2" t="s">
        <v>12</v>
      </c>
      <c r="D51" s="3">
        <v>0</v>
      </c>
      <c r="E51" s="3"/>
      <c r="F51" s="3"/>
      <c r="G51" s="2"/>
      <c r="H51" s="4">
        <v>14.7</v>
      </c>
      <c r="I51" s="5">
        <f t="shared" si="1"/>
        <v>0</v>
      </c>
      <c r="J51" s="2">
        <v>100960</v>
      </c>
    </row>
    <row r="52" spans="1:10" x14ac:dyDescent="0.3">
      <c r="A52" s="2" t="s">
        <v>10</v>
      </c>
      <c r="B52" s="2" t="s">
        <v>66</v>
      </c>
      <c r="C52" s="2" t="s">
        <v>67</v>
      </c>
      <c r="D52" s="3">
        <v>23</v>
      </c>
      <c r="E52" s="3">
        <v>450</v>
      </c>
      <c r="F52" s="3">
        <v>510.85</v>
      </c>
      <c r="G52" s="2" t="s">
        <v>68</v>
      </c>
      <c r="H52" s="4">
        <v>23.5</v>
      </c>
      <c r="I52" s="5">
        <f t="shared" si="1"/>
        <v>0.97872340425531912</v>
      </c>
      <c r="J52" s="2">
        <v>28151</v>
      </c>
    </row>
    <row r="53" spans="1:10" x14ac:dyDescent="0.3">
      <c r="A53" s="2" t="s">
        <v>10</v>
      </c>
      <c r="B53" s="2" t="s">
        <v>69</v>
      </c>
      <c r="C53" s="2" t="s">
        <v>12</v>
      </c>
      <c r="D53" s="3">
        <v>0</v>
      </c>
      <c r="E53" s="3"/>
      <c r="F53" s="3"/>
      <c r="G53" s="2"/>
      <c r="H53" s="4">
        <v>22.9</v>
      </c>
      <c r="I53" s="5">
        <f t="shared" si="1"/>
        <v>0</v>
      </c>
      <c r="J53" s="2">
        <v>11597</v>
      </c>
    </row>
    <row r="54" spans="1:10" x14ac:dyDescent="0.3">
      <c r="A54" s="2" t="s">
        <v>10</v>
      </c>
      <c r="B54" s="2" t="s">
        <v>70</v>
      </c>
      <c r="C54" s="2" t="s">
        <v>12</v>
      </c>
      <c r="D54" s="3">
        <v>0</v>
      </c>
      <c r="E54" s="3"/>
      <c r="F54" s="3"/>
      <c r="G54" s="2"/>
      <c r="H54" s="4">
        <v>12.26</v>
      </c>
      <c r="I54" s="5">
        <f t="shared" si="1"/>
        <v>0</v>
      </c>
      <c r="J54" s="2">
        <v>100961</v>
      </c>
    </row>
    <row r="55" spans="1:10" x14ac:dyDescent="0.3">
      <c r="A55" s="2" t="s">
        <v>10</v>
      </c>
      <c r="B55" s="2" t="s">
        <v>71</v>
      </c>
      <c r="C55" s="2" t="s">
        <v>12</v>
      </c>
      <c r="D55" s="3">
        <v>0</v>
      </c>
      <c r="E55" s="3"/>
      <c r="F55" s="3"/>
      <c r="G55" s="2"/>
      <c r="H55" s="4">
        <v>25</v>
      </c>
      <c r="I55" s="5">
        <f t="shared" si="1"/>
        <v>0</v>
      </c>
      <c r="J55" s="2">
        <v>11599</v>
      </c>
    </row>
    <row r="56" spans="1:10" x14ac:dyDescent="0.3">
      <c r="A56" s="2" t="s">
        <v>10</v>
      </c>
      <c r="B56" s="2" t="s">
        <v>72</v>
      </c>
      <c r="C56" s="2" t="s">
        <v>12</v>
      </c>
      <c r="D56" s="3">
        <v>0</v>
      </c>
      <c r="E56" s="3"/>
      <c r="F56" s="3"/>
      <c r="G56" s="2"/>
      <c r="H56" s="4">
        <v>26.6</v>
      </c>
      <c r="I56" s="5">
        <f t="shared" si="1"/>
        <v>0</v>
      </c>
      <c r="J56" s="2">
        <v>21790</v>
      </c>
    </row>
    <row r="57" spans="1:10" x14ac:dyDescent="0.3">
      <c r="A57" s="2" t="s">
        <v>10</v>
      </c>
      <c r="B57" s="2" t="s">
        <v>73</v>
      </c>
      <c r="C57" s="2" t="s">
        <v>12</v>
      </c>
      <c r="D57" s="3">
        <v>0</v>
      </c>
      <c r="E57" s="3"/>
      <c r="F57" s="3"/>
      <c r="G57" s="2"/>
      <c r="H57" s="4">
        <v>12.07</v>
      </c>
      <c r="I57" s="5">
        <f t="shared" si="1"/>
        <v>0</v>
      </c>
      <c r="J57" s="2">
        <v>100962</v>
      </c>
    </row>
    <row r="58" spans="1:10" x14ac:dyDescent="0.3">
      <c r="A58" s="2" t="s">
        <v>10</v>
      </c>
      <c r="B58" s="2" t="s">
        <v>74</v>
      </c>
      <c r="C58" s="2" t="s">
        <v>12</v>
      </c>
      <c r="D58" s="3">
        <v>0</v>
      </c>
      <c r="E58" s="3"/>
      <c r="F58" s="3"/>
      <c r="G58" s="2"/>
      <c r="H58" s="4">
        <v>25</v>
      </c>
      <c r="I58" s="5">
        <f t="shared" si="1"/>
        <v>0</v>
      </c>
      <c r="J58" s="2">
        <v>28157</v>
      </c>
    </row>
    <row r="59" spans="1:10" x14ac:dyDescent="0.3">
      <c r="A59" s="2" t="s">
        <v>10</v>
      </c>
      <c r="B59" s="2" t="s">
        <v>75</v>
      </c>
      <c r="C59" s="2" t="s">
        <v>12</v>
      </c>
      <c r="D59" s="3">
        <v>0</v>
      </c>
      <c r="E59" s="3"/>
      <c r="F59" s="3"/>
      <c r="G59" s="2"/>
      <c r="H59" s="4">
        <v>26.5</v>
      </c>
      <c r="I59" s="5">
        <f t="shared" si="1"/>
        <v>0</v>
      </c>
      <c r="J59" s="2">
        <v>11598</v>
      </c>
    </row>
    <row r="60" spans="1:10" x14ac:dyDescent="0.3">
      <c r="A60" s="2" t="s">
        <v>10</v>
      </c>
      <c r="B60" s="2" t="s">
        <v>76</v>
      </c>
      <c r="C60" s="2" t="s">
        <v>12</v>
      </c>
      <c r="D60" s="3">
        <v>0</v>
      </c>
      <c r="E60" s="3"/>
      <c r="F60" s="3"/>
      <c r="G60" s="2"/>
      <c r="H60" s="4">
        <v>12.37</v>
      </c>
      <c r="I60" s="5">
        <f t="shared" si="1"/>
        <v>0</v>
      </c>
      <c r="J60" s="2">
        <v>100963</v>
      </c>
    </row>
    <row r="61" spans="1:10" x14ac:dyDescent="0.3">
      <c r="A61" s="2" t="s">
        <v>10</v>
      </c>
      <c r="B61" s="2" t="s">
        <v>77</v>
      </c>
      <c r="C61" s="2" t="s">
        <v>12</v>
      </c>
      <c r="D61" s="3">
        <v>0</v>
      </c>
      <c r="E61" s="3"/>
      <c r="F61" s="3"/>
      <c r="G61" s="2"/>
      <c r="H61" s="4">
        <v>57.9</v>
      </c>
      <c r="I61" s="5">
        <f t="shared" si="1"/>
        <v>0</v>
      </c>
      <c r="J61" s="2">
        <v>11600</v>
      </c>
    </row>
    <row r="62" spans="1:10" x14ac:dyDescent="0.3">
      <c r="A62" s="2" t="s">
        <v>10</v>
      </c>
      <c r="B62" s="2" t="s">
        <v>78</v>
      </c>
      <c r="C62" s="2" t="s">
        <v>12</v>
      </c>
      <c r="D62" s="3">
        <v>0</v>
      </c>
      <c r="E62" s="3"/>
      <c r="F62" s="3"/>
      <c r="G62" s="2"/>
      <c r="H62" s="4">
        <v>14.52</v>
      </c>
      <c r="I62" s="5">
        <f t="shared" si="1"/>
        <v>0</v>
      </c>
      <c r="J62" s="2">
        <v>100964</v>
      </c>
    </row>
    <row r="63" spans="1:10" x14ac:dyDescent="0.3">
      <c r="A63" s="2" t="s">
        <v>10</v>
      </c>
      <c r="B63" s="2" t="s">
        <v>79</v>
      </c>
      <c r="C63" s="2" t="s">
        <v>12</v>
      </c>
      <c r="D63" s="3">
        <v>0</v>
      </c>
      <c r="E63" s="3"/>
      <c r="F63" s="3"/>
      <c r="G63" s="2"/>
      <c r="H63" s="4">
        <v>48.5</v>
      </c>
      <c r="I63" s="5">
        <f t="shared" si="1"/>
        <v>0</v>
      </c>
      <c r="J63" s="2">
        <v>11601</v>
      </c>
    </row>
    <row r="64" spans="1:10" x14ac:dyDescent="0.3">
      <c r="A64" s="2" t="s">
        <v>10</v>
      </c>
      <c r="B64" s="2" t="s">
        <v>80</v>
      </c>
      <c r="C64" s="2" t="s">
        <v>12</v>
      </c>
      <c r="D64" s="3">
        <v>0</v>
      </c>
      <c r="E64" s="3"/>
      <c r="F64" s="3"/>
      <c r="G64" s="2"/>
      <c r="H64" s="4">
        <v>14.13</v>
      </c>
      <c r="I64" s="5">
        <f t="shared" si="1"/>
        <v>0</v>
      </c>
      <c r="J64" s="2">
        <v>100965</v>
      </c>
    </row>
    <row r="65" spans="1:10" x14ac:dyDescent="0.3">
      <c r="A65" s="2" t="s">
        <v>10</v>
      </c>
      <c r="B65" s="2" t="s">
        <v>81</v>
      </c>
      <c r="C65" s="2" t="s">
        <v>12</v>
      </c>
      <c r="D65" s="3">
        <v>0</v>
      </c>
      <c r="E65" s="3"/>
      <c r="F65" s="3"/>
      <c r="G65" s="2"/>
      <c r="H65" s="4">
        <v>22.7</v>
      </c>
      <c r="I65" s="5">
        <f t="shared" si="1"/>
        <v>0</v>
      </c>
      <c r="J65" s="2">
        <v>28152</v>
      </c>
    </row>
    <row r="66" spans="1:10" x14ac:dyDescent="0.3">
      <c r="A66" s="2" t="s">
        <v>10</v>
      </c>
      <c r="B66" s="2" t="s">
        <v>82</v>
      </c>
      <c r="C66" s="2" t="s">
        <v>12</v>
      </c>
      <c r="D66" s="3">
        <v>0</v>
      </c>
      <c r="E66" s="3"/>
      <c r="F66" s="3"/>
      <c r="G66" s="2"/>
      <c r="H66" s="4">
        <v>23.79</v>
      </c>
      <c r="I66" s="5">
        <f t="shared" ref="I66:I97" si="2">IF(OR(H66=0,H66=""),"",D66/H66)</f>
        <v>0</v>
      </c>
      <c r="J66" s="2">
        <v>11602</v>
      </c>
    </row>
    <row r="67" spans="1:10" x14ac:dyDescent="0.3">
      <c r="A67" s="2" t="s">
        <v>10</v>
      </c>
      <c r="B67" s="2" t="s">
        <v>83</v>
      </c>
      <c r="C67" s="2" t="s">
        <v>12</v>
      </c>
      <c r="D67" s="3">
        <v>0</v>
      </c>
      <c r="E67" s="3"/>
      <c r="F67" s="3"/>
      <c r="G67" s="2"/>
      <c r="H67" s="4">
        <v>15.02</v>
      </c>
      <c r="I67" s="5">
        <f t="shared" si="2"/>
        <v>0</v>
      </c>
      <c r="J67" s="2">
        <v>100966</v>
      </c>
    </row>
    <row r="68" spans="1:10" x14ac:dyDescent="0.3">
      <c r="A68" s="2" t="s">
        <v>10</v>
      </c>
      <c r="B68" s="2" t="s">
        <v>84</v>
      </c>
      <c r="C68" s="2" t="s">
        <v>12</v>
      </c>
      <c r="D68" s="3">
        <v>0</v>
      </c>
      <c r="E68" s="3"/>
      <c r="F68" s="3"/>
      <c r="G68" s="2"/>
      <c r="H68" s="4">
        <v>13.5</v>
      </c>
      <c r="I68" s="5">
        <f t="shared" si="2"/>
        <v>0</v>
      </c>
      <c r="J68" s="2">
        <v>77994</v>
      </c>
    </row>
    <row r="69" spans="1:10" x14ac:dyDescent="0.3">
      <c r="A69" s="2" t="s">
        <v>10</v>
      </c>
      <c r="B69" s="2" t="s">
        <v>85</v>
      </c>
      <c r="C69" s="2" t="s">
        <v>12</v>
      </c>
      <c r="D69" s="3">
        <v>0</v>
      </c>
      <c r="E69" s="3"/>
      <c r="F69" s="3"/>
      <c r="G69" s="2"/>
      <c r="H69" s="4">
        <v>13.33</v>
      </c>
      <c r="I69" s="5">
        <f t="shared" si="2"/>
        <v>0</v>
      </c>
      <c r="J69" s="2">
        <v>100967</v>
      </c>
    </row>
    <row r="70" spans="1:10" x14ac:dyDescent="0.3">
      <c r="A70" s="2" t="s">
        <v>10</v>
      </c>
      <c r="B70" s="2" t="s">
        <v>86</v>
      </c>
      <c r="C70" s="2" t="s">
        <v>12</v>
      </c>
      <c r="D70" s="3">
        <v>0</v>
      </c>
      <c r="E70" s="3"/>
      <c r="F70" s="3"/>
      <c r="G70" s="2"/>
      <c r="H70" s="4">
        <v>13.5</v>
      </c>
      <c r="I70" s="5">
        <f t="shared" si="2"/>
        <v>0</v>
      </c>
      <c r="J70" s="2">
        <v>77993</v>
      </c>
    </row>
    <row r="71" spans="1:10" x14ac:dyDescent="0.3">
      <c r="A71" s="2" t="s">
        <v>10</v>
      </c>
      <c r="B71" s="2" t="s">
        <v>87</v>
      </c>
      <c r="C71" s="2" t="s">
        <v>12</v>
      </c>
      <c r="D71" s="3">
        <v>0</v>
      </c>
      <c r="E71" s="3"/>
      <c r="F71" s="3"/>
      <c r="G71" s="2"/>
      <c r="H71" s="4">
        <v>13.5</v>
      </c>
      <c r="I71" s="5">
        <f t="shared" si="2"/>
        <v>0</v>
      </c>
      <c r="J71" s="2">
        <v>77996</v>
      </c>
    </row>
    <row r="72" spans="1:10" x14ac:dyDescent="0.3">
      <c r="A72" s="2" t="s">
        <v>10</v>
      </c>
      <c r="B72" s="2" t="s">
        <v>88</v>
      </c>
      <c r="C72" s="2" t="s">
        <v>25</v>
      </c>
      <c r="D72" s="3">
        <v>103</v>
      </c>
      <c r="E72" s="3">
        <v>350</v>
      </c>
      <c r="F72" s="3">
        <v>439.5</v>
      </c>
      <c r="G72" s="2" t="s">
        <v>31</v>
      </c>
      <c r="H72" s="4">
        <v>13.5</v>
      </c>
      <c r="I72" s="5">
        <f t="shared" si="2"/>
        <v>7.6296296296296298</v>
      </c>
      <c r="J72" s="2">
        <v>77995</v>
      </c>
    </row>
    <row r="73" spans="1:10" x14ac:dyDescent="0.3">
      <c r="A73" s="2" t="s">
        <v>10</v>
      </c>
      <c r="B73" s="2" t="s">
        <v>89</v>
      </c>
      <c r="C73" s="2" t="s">
        <v>12</v>
      </c>
      <c r="D73" s="3">
        <v>0</v>
      </c>
      <c r="E73" s="3"/>
      <c r="F73" s="3"/>
      <c r="G73" s="2"/>
      <c r="H73" s="4">
        <v>13.5</v>
      </c>
      <c r="I73" s="5">
        <f t="shared" si="2"/>
        <v>0</v>
      </c>
      <c r="J73" s="2">
        <v>77991</v>
      </c>
    </row>
    <row r="74" spans="1:10" x14ac:dyDescent="0.3">
      <c r="A74" s="2" t="s">
        <v>10</v>
      </c>
      <c r="B74" s="2" t="s">
        <v>90</v>
      </c>
      <c r="C74" s="2" t="s">
        <v>12</v>
      </c>
      <c r="D74" s="3">
        <v>0</v>
      </c>
      <c r="E74" s="3"/>
      <c r="F74" s="3"/>
      <c r="G74" s="2"/>
      <c r="H74" s="4">
        <v>13.5</v>
      </c>
      <c r="I74" s="5">
        <f t="shared" si="2"/>
        <v>0</v>
      </c>
      <c r="J74" s="2">
        <v>77987</v>
      </c>
    </row>
    <row r="75" spans="1:10" x14ac:dyDescent="0.3">
      <c r="A75" s="2" t="s">
        <v>10</v>
      </c>
      <c r="B75" s="2" t="s">
        <v>91</v>
      </c>
      <c r="C75" s="2" t="s">
        <v>12</v>
      </c>
      <c r="D75" s="3">
        <v>0</v>
      </c>
      <c r="E75" s="3"/>
      <c r="F75" s="3"/>
      <c r="G75" s="2"/>
      <c r="H75" s="4">
        <v>13.4</v>
      </c>
      <c r="I75" s="5">
        <f t="shared" si="2"/>
        <v>0</v>
      </c>
      <c r="J75" s="2">
        <v>77992</v>
      </c>
    </row>
    <row r="76" spans="1:10" x14ac:dyDescent="0.3">
      <c r="A76" s="2" t="s">
        <v>10</v>
      </c>
      <c r="B76" s="2" t="s">
        <v>92</v>
      </c>
      <c r="C76" s="2" t="s">
        <v>12</v>
      </c>
      <c r="D76" s="3">
        <v>0</v>
      </c>
      <c r="E76" s="3"/>
      <c r="F76" s="3"/>
      <c r="G76" s="2"/>
      <c r="H76" s="4">
        <v>13.5</v>
      </c>
      <c r="I76" s="5">
        <f t="shared" si="2"/>
        <v>0</v>
      </c>
      <c r="J76" s="2">
        <v>77988</v>
      </c>
    </row>
    <row r="77" spans="1:10" x14ac:dyDescent="0.3">
      <c r="A77" s="2" t="s">
        <v>10</v>
      </c>
      <c r="B77" s="2" t="s">
        <v>93</v>
      </c>
      <c r="C77" s="2" t="s">
        <v>25</v>
      </c>
      <c r="D77" s="3">
        <v>108</v>
      </c>
      <c r="E77" s="3">
        <v>375</v>
      </c>
      <c r="F77" s="3">
        <v>390.75</v>
      </c>
      <c r="G77" s="2" t="s">
        <v>50</v>
      </c>
      <c r="H77" s="4">
        <v>13.5</v>
      </c>
      <c r="I77" s="5">
        <f t="shared" si="2"/>
        <v>8</v>
      </c>
      <c r="J77" s="2">
        <v>78001</v>
      </c>
    </row>
    <row r="78" spans="1:10" x14ac:dyDescent="0.3">
      <c r="A78" s="2" t="s">
        <v>10</v>
      </c>
      <c r="B78" s="2" t="s">
        <v>94</v>
      </c>
      <c r="C78" s="2" t="s">
        <v>12</v>
      </c>
      <c r="D78" s="3">
        <v>0</v>
      </c>
      <c r="E78" s="3"/>
      <c r="F78" s="3"/>
      <c r="G78" s="2"/>
      <c r="H78" s="4">
        <v>13.5</v>
      </c>
      <c r="I78" s="5">
        <f t="shared" si="2"/>
        <v>0</v>
      </c>
      <c r="J78" s="2">
        <v>77999</v>
      </c>
    </row>
    <row r="79" spans="1:10" x14ac:dyDescent="0.3">
      <c r="A79" s="2" t="s">
        <v>10</v>
      </c>
      <c r="B79" s="2" t="s">
        <v>95</v>
      </c>
      <c r="C79" s="2" t="s">
        <v>12</v>
      </c>
      <c r="D79" s="3">
        <v>0</v>
      </c>
      <c r="E79" s="3"/>
      <c r="F79" s="3"/>
      <c r="G79" s="2"/>
      <c r="H79" s="4">
        <v>13.5</v>
      </c>
      <c r="I79" s="5">
        <f t="shared" si="2"/>
        <v>0</v>
      </c>
      <c r="J79" s="2">
        <v>78002</v>
      </c>
    </row>
    <row r="80" spans="1:10" x14ac:dyDescent="0.3">
      <c r="A80" s="2" t="s">
        <v>10</v>
      </c>
      <c r="B80" s="2" t="s">
        <v>96</v>
      </c>
      <c r="C80" s="2" t="s">
        <v>12</v>
      </c>
      <c r="D80" s="3">
        <v>0</v>
      </c>
      <c r="E80" s="3"/>
      <c r="F80" s="3"/>
      <c r="G80" s="2"/>
      <c r="H80" s="4">
        <v>13.5</v>
      </c>
      <c r="I80" s="5">
        <f t="shared" si="2"/>
        <v>0</v>
      </c>
      <c r="J80" s="2">
        <v>78000</v>
      </c>
    </row>
    <row r="81" spans="1:10" x14ac:dyDescent="0.3">
      <c r="A81" s="2" t="s">
        <v>10</v>
      </c>
      <c r="B81" s="2" t="s">
        <v>97</v>
      </c>
      <c r="C81" s="2" t="s">
        <v>12</v>
      </c>
      <c r="D81" s="3">
        <v>0</v>
      </c>
      <c r="E81" s="3"/>
      <c r="F81" s="3"/>
      <c r="G81" s="2"/>
      <c r="H81" s="4">
        <v>13.5</v>
      </c>
      <c r="I81" s="5">
        <f t="shared" si="2"/>
        <v>0</v>
      </c>
      <c r="J81" s="2">
        <v>77997</v>
      </c>
    </row>
    <row r="82" spans="1:10" x14ac:dyDescent="0.3">
      <c r="A82" s="2" t="s">
        <v>10</v>
      </c>
      <c r="B82" s="2" t="s">
        <v>98</v>
      </c>
      <c r="C82" s="2" t="s">
        <v>25</v>
      </c>
      <c r="D82" s="3">
        <v>87</v>
      </c>
      <c r="E82" s="3">
        <v>337</v>
      </c>
      <c r="F82" s="3">
        <v>336.1</v>
      </c>
      <c r="G82" s="2" t="s">
        <v>99</v>
      </c>
      <c r="H82" s="4">
        <v>13.5</v>
      </c>
      <c r="I82" s="5">
        <f t="shared" si="2"/>
        <v>6.4444444444444446</v>
      </c>
      <c r="J82" s="2">
        <v>77989</v>
      </c>
    </row>
    <row r="83" spans="1:10" x14ac:dyDescent="0.3">
      <c r="A83" s="2" t="s">
        <v>10</v>
      </c>
      <c r="B83" s="2" t="s">
        <v>100</v>
      </c>
      <c r="C83" s="2" t="s">
        <v>12</v>
      </c>
      <c r="D83" s="3">
        <v>0</v>
      </c>
      <c r="E83" s="3"/>
      <c r="F83" s="3"/>
      <c r="G83" s="2"/>
      <c r="H83" s="4">
        <v>13.5</v>
      </c>
      <c r="I83" s="5">
        <f t="shared" si="2"/>
        <v>0</v>
      </c>
      <c r="J83" s="2">
        <v>77998</v>
      </c>
    </row>
    <row r="84" spans="1:10" x14ac:dyDescent="0.3">
      <c r="A84" s="2" t="s">
        <v>10</v>
      </c>
      <c r="B84" s="2" t="s">
        <v>101</v>
      </c>
      <c r="C84" s="2" t="s">
        <v>12</v>
      </c>
      <c r="D84" s="3">
        <v>0</v>
      </c>
      <c r="E84" s="3"/>
      <c r="F84" s="3"/>
      <c r="G84" s="2"/>
      <c r="H84" s="4">
        <v>13.4</v>
      </c>
      <c r="I84" s="5">
        <f t="shared" si="2"/>
        <v>0</v>
      </c>
      <c r="J84" s="2">
        <v>77990</v>
      </c>
    </row>
    <row r="85" spans="1:10" x14ac:dyDescent="0.3">
      <c r="A85" s="2" t="s">
        <v>10</v>
      </c>
      <c r="B85" s="2" t="s">
        <v>102</v>
      </c>
      <c r="C85" s="2" t="s">
        <v>40</v>
      </c>
      <c r="D85" s="3">
        <v>7</v>
      </c>
      <c r="E85" s="3">
        <v>100</v>
      </c>
      <c r="F85" s="3"/>
      <c r="G85" s="2" t="s">
        <v>26</v>
      </c>
      <c r="H85" s="4">
        <v>50</v>
      </c>
      <c r="I85" s="5">
        <f t="shared" si="2"/>
        <v>0.14000000000000001</v>
      </c>
      <c r="J85" s="2">
        <v>77985</v>
      </c>
    </row>
    <row r="86" spans="1:10" x14ac:dyDescent="0.3">
      <c r="A86" s="2" t="s">
        <v>10</v>
      </c>
      <c r="B86" s="2" t="s">
        <v>102</v>
      </c>
      <c r="C86" s="2" t="s">
        <v>38</v>
      </c>
      <c r="D86" s="3">
        <v>5</v>
      </c>
      <c r="E86" s="3">
        <v>450</v>
      </c>
      <c r="F86" s="3"/>
      <c r="G86" s="2" t="s">
        <v>26</v>
      </c>
      <c r="H86" s="4">
        <v>50</v>
      </c>
      <c r="I86" s="5">
        <f t="shared" si="2"/>
        <v>0.1</v>
      </c>
      <c r="J86" s="2">
        <v>77985</v>
      </c>
    </row>
    <row r="87" spans="1:10" x14ac:dyDescent="0.3">
      <c r="A87" s="2" t="s">
        <v>10</v>
      </c>
      <c r="B87" s="2" t="s">
        <v>102</v>
      </c>
      <c r="C87" s="2" t="s">
        <v>41</v>
      </c>
      <c r="D87" s="3">
        <v>2</v>
      </c>
      <c r="E87" s="3">
        <v>100</v>
      </c>
      <c r="F87" s="3"/>
      <c r="G87" s="2" t="s">
        <v>26</v>
      </c>
      <c r="H87" s="4">
        <v>50</v>
      </c>
      <c r="I87" s="5">
        <f t="shared" si="2"/>
        <v>0.04</v>
      </c>
      <c r="J87" s="2">
        <v>77985</v>
      </c>
    </row>
    <row r="88" spans="1:10" x14ac:dyDescent="0.3">
      <c r="A88" s="2" t="s">
        <v>10</v>
      </c>
      <c r="B88" s="2" t="s">
        <v>103</v>
      </c>
      <c r="C88" s="2" t="s">
        <v>12</v>
      </c>
      <c r="D88" s="3">
        <v>0</v>
      </c>
      <c r="E88" s="3"/>
      <c r="F88" s="3"/>
      <c r="G88" s="2"/>
      <c r="H88" s="4">
        <v>50</v>
      </c>
      <c r="I88" s="5">
        <f t="shared" si="2"/>
        <v>0</v>
      </c>
      <c r="J88" s="2">
        <v>77984</v>
      </c>
    </row>
    <row r="89" spans="1:10" x14ac:dyDescent="0.3">
      <c r="A89" s="2" t="s">
        <v>10</v>
      </c>
      <c r="B89" s="2" t="s">
        <v>104</v>
      </c>
      <c r="C89" s="2" t="s">
        <v>12</v>
      </c>
      <c r="D89" s="3">
        <v>0</v>
      </c>
      <c r="E89" s="3"/>
      <c r="F89" s="3"/>
      <c r="G89" s="2"/>
      <c r="H89" s="4">
        <v>98.7</v>
      </c>
      <c r="I89" s="5">
        <f t="shared" si="2"/>
        <v>0</v>
      </c>
      <c r="J89" s="2">
        <v>11629</v>
      </c>
    </row>
    <row r="90" spans="1:10" x14ac:dyDescent="0.3">
      <c r="A90" s="2" t="s">
        <v>10</v>
      </c>
      <c r="B90" s="2" t="s">
        <v>105</v>
      </c>
      <c r="C90" s="2" t="s">
        <v>12</v>
      </c>
      <c r="D90" s="3">
        <v>0</v>
      </c>
      <c r="E90" s="3"/>
      <c r="F90" s="3"/>
      <c r="G90" s="2"/>
      <c r="H90" s="4">
        <v>144.1</v>
      </c>
      <c r="I90" s="5">
        <f t="shared" si="2"/>
        <v>0</v>
      </c>
      <c r="J90" s="2">
        <v>11630</v>
      </c>
    </row>
    <row r="91" spans="1:10" x14ac:dyDescent="0.3">
      <c r="A91" s="2" t="s">
        <v>10</v>
      </c>
      <c r="B91" s="2" t="s">
        <v>106</v>
      </c>
      <c r="C91" s="2" t="s">
        <v>38</v>
      </c>
      <c r="D91" s="3">
        <v>83</v>
      </c>
      <c r="E91" s="3">
        <v>470</v>
      </c>
      <c r="F91" s="3">
        <v>528.4</v>
      </c>
      <c r="G91" s="2" t="s">
        <v>39</v>
      </c>
      <c r="H91" s="4">
        <v>52.9</v>
      </c>
      <c r="I91" s="5">
        <f t="shared" si="2"/>
        <v>1.5689981096408319</v>
      </c>
      <c r="J91" s="2">
        <v>11631</v>
      </c>
    </row>
    <row r="92" spans="1:10" x14ac:dyDescent="0.3">
      <c r="A92" s="2" t="s">
        <v>10</v>
      </c>
      <c r="B92" s="2" t="s">
        <v>106</v>
      </c>
      <c r="C92" s="2" t="s">
        <v>41</v>
      </c>
      <c r="D92" s="3">
        <v>54</v>
      </c>
      <c r="E92" s="3">
        <v>71</v>
      </c>
      <c r="F92" s="3">
        <v>421</v>
      </c>
      <c r="G92" s="2" t="s">
        <v>107</v>
      </c>
      <c r="H92" s="4">
        <v>52.9</v>
      </c>
      <c r="I92" s="5">
        <f t="shared" si="2"/>
        <v>1.0207939508506616</v>
      </c>
      <c r="J92" s="2">
        <v>11631</v>
      </c>
    </row>
    <row r="93" spans="1:10" x14ac:dyDescent="0.3">
      <c r="A93" s="2" t="s">
        <v>10</v>
      </c>
      <c r="B93" s="2" t="s">
        <v>106</v>
      </c>
      <c r="C93" s="2" t="s">
        <v>40</v>
      </c>
      <c r="D93" s="3">
        <v>24</v>
      </c>
      <c r="E93" s="3">
        <v>80</v>
      </c>
      <c r="F93" s="3">
        <v>557.20000000000005</v>
      </c>
      <c r="G93" s="2" t="s">
        <v>107</v>
      </c>
      <c r="H93" s="4">
        <v>52.9</v>
      </c>
      <c r="I93" s="5">
        <f t="shared" si="2"/>
        <v>0.45368620037807184</v>
      </c>
      <c r="J93" s="2">
        <v>11631</v>
      </c>
    </row>
    <row r="94" spans="1:10" x14ac:dyDescent="0.3">
      <c r="A94" s="2" t="s">
        <v>10</v>
      </c>
      <c r="B94" s="2" t="s">
        <v>108</v>
      </c>
      <c r="C94" s="2" t="s">
        <v>12</v>
      </c>
      <c r="D94" s="3">
        <v>0</v>
      </c>
      <c r="E94" s="3"/>
      <c r="F94" s="3"/>
      <c r="G94" s="2"/>
      <c r="H94" s="4">
        <v>67.7</v>
      </c>
      <c r="I94" s="5">
        <f t="shared" si="2"/>
        <v>0</v>
      </c>
      <c r="J94" s="2">
        <v>11632</v>
      </c>
    </row>
    <row r="95" spans="1:10" x14ac:dyDescent="0.3">
      <c r="A95" s="2" t="s">
        <v>10</v>
      </c>
      <c r="B95" s="2" t="s">
        <v>109</v>
      </c>
      <c r="C95" s="2" t="s">
        <v>17</v>
      </c>
      <c r="D95" s="3">
        <v>45</v>
      </c>
      <c r="E95" s="3">
        <v>312</v>
      </c>
      <c r="F95" s="3">
        <v>430.8</v>
      </c>
      <c r="G95" s="2" t="s">
        <v>110</v>
      </c>
      <c r="H95" s="4">
        <v>64.2</v>
      </c>
      <c r="I95" s="5">
        <f t="shared" si="2"/>
        <v>0.7009345794392523</v>
      </c>
      <c r="J95" s="2">
        <v>11633</v>
      </c>
    </row>
    <row r="96" spans="1:10" x14ac:dyDescent="0.3">
      <c r="A96" s="2" t="s">
        <v>10</v>
      </c>
      <c r="B96" s="2" t="s">
        <v>111</v>
      </c>
      <c r="C96" s="2" t="s">
        <v>12</v>
      </c>
      <c r="D96" s="3">
        <v>0</v>
      </c>
      <c r="E96" s="3"/>
      <c r="F96" s="3"/>
      <c r="G96" s="2"/>
      <c r="H96" s="4">
        <v>55.1</v>
      </c>
      <c r="I96" s="5">
        <f t="shared" si="2"/>
        <v>0</v>
      </c>
      <c r="J96" s="2">
        <v>11634</v>
      </c>
    </row>
    <row r="97" spans="1:10" x14ac:dyDescent="0.3">
      <c r="A97" s="2" t="s">
        <v>10</v>
      </c>
      <c r="B97" s="2" t="s">
        <v>112</v>
      </c>
      <c r="C97" s="2" t="s">
        <v>12</v>
      </c>
      <c r="D97" s="3">
        <v>0</v>
      </c>
      <c r="E97" s="3"/>
      <c r="F97" s="3"/>
      <c r="G97" s="2"/>
      <c r="H97" s="4">
        <v>37.4</v>
      </c>
      <c r="I97" s="5">
        <f t="shared" si="2"/>
        <v>0</v>
      </c>
      <c r="J97" s="2">
        <v>30260</v>
      </c>
    </row>
    <row r="98" spans="1:10" x14ac:dyDescent="0.3">
      <c r="A98" s="2" t="s">
        <v>10</v>
      </c>
      <c r="B98" s="2" t="s">
        <v>113</v>
      </c>
      <c r="C98" s="2" t="s">
        <v>114</v>
      </c>
      <c r="D98" s="3">
        <v>103</v>
      </c>
      <c r="E98" s="3">
        <v>450</v>
      </c>
      <c r="F98" s="3">
        <v>528.4</v>
      </c>
      <c r="G98" s="2" t="s">
        <v>39</v>
      </c>
      <c r="H98" s="4">
        <v>38.1</v>
      </c>
      <c r="I98" s="5">
        <f t="shared" ref="I98:I129" si="3">IF(OR(H98=0,H98=""),"",D98/H98)</f>
        <v>2.7034120734908136</v>
      </c>
      <c r="J98" s="2">
        <v>30261</v>
      </c>
    </row>
    <row r="99" spans="1:10" x14ac:dyDescent="0.3">
      <c r="A99" s="2" t="s">
        <v>10</v>
      </c>
      <c r="B99" s="2" t="s">
        <v>113</v>
      </c>
      <c r="C99" s="2" t="s">
        <v>40</v>
      </c>
      <c r="D99" s="3">
        <v>45</v>
      </c>
      <c r="E99" s="3">
        <v>118</v>
      </c>
      <c r="F99" s="3">
        <v>557.20000000000005</v>
      </c>
      <c r="G99" s="2" t="s">
        <v>107</v>
      </c>
      <c r="H99" s="4">
        <v>38.1</v>
      </c>
      <c r="I99" s="5">
        <f t="shared" si="3"/>
        <v>1.1811023622047243</v>
      </c>
      <c r="J99" s="2">
        <v>30261</v>
      </c>
    </row>
    <row r="100" spans="1:10" x14ac:dyDescent="0.3">
      <c r="A100" s="2" t="s">
        <v>10</v>
      </c>
      <c r="B100" s="2" t="s">
        <v>113</v>
      </c>
      <c r="C100" s="2" t="s">
        <v>41</v>
      </c>
      <c r="D100" s="3">
        <v>37</v>
      </c>
      <c r="E100" s="3">
        <v>114</v>
      </c>
      <c r="F100" s="3">
        <v>421</v>
      </c>
      <c r="G100" s="2" t="s">
        <v>107</v>
      </c>
      <c r="H100" s="4">
        <v>38.1</v>
      </c>
      <c r="I100" s="5">
        <f t="shared" si="3"/>
        <v>0.97112860892388453</v>
      </c>
      <c r="J100" s="2">
        <v>30261</v>
      </c>
    </row>
    <row r="101" spans="1:10" x14ac:dyDescent="0.3">
      <c r="A101" s="2" t="s">
        <v>10</v>
      </c>
      <c r="B101" s="2" t="s">
        <v>115</v>
      </c>
      <c r="C101" s="2" t="s">
        <v>12</v>
      </c>
      <c r="D101" s="3">
        <v>0</v>
      </c>
      <c r="E101" s="3"/>
      <c r="F101" s="3"/>
      <c r="G101" s="2"/>
      <c r="H101" s="4">
        <v>36.1</v>
      </c>
      <c r="I101" s="5">
        <f t="shared" si="3"/>
        <v>0</v>
      </c>
      <c r="J101" s="2">
        <v>30262</v>
      </c>
    </row>
    <row r="102" spans="1:10" x14ac:dyDescent="0.3">
      <c r="A102" s="2" t="s">
        <v>10</v>
      </c>
      <c r="B102" s="2" t="s">
        <v>116</v>
      </c>
      <c r="C102" s="2" t="s">
        <v>12</v>
      </c>
      <c r="D102" s="3">
        <v>0</v>
      </c>
      <c r="E102" s="3"/>
      <c r="F102" s="3"/>
      <c r="G102" s="2"/>
      <c r="H102" s="4">
        <v>34.1</v>
      </c>
      <c r="I102" s="5">
        <f t="shared" si="3"/>
        <v>0</v>
      </c>
      <c r="J102" s="2">
        <v>30263</v>
      </c>
    </row>
    <row r="103" spans="1:10" x14ac:dyDescent="0.3">
      <c r="A103" s="2" t="s">
        <v>10</v>
      </c>
      <c r="B103" s="2" t="s">
        <v>117</v>
      </c>
      <c r="C103" s="2" t="s">
        <v>114</v>
      </c>
      <c r="D103" s="3">
        <v>98</v>
      </c>
      <c r="E103" s="3">
        <v>450</v>
      </c>
      <c r="F103" s="3">
        <v>528.4</v>
      </c>
      <c r="G103" s="2" t="s">
        <v>39</v>
      </c>
      <c r="H103" s="4">
        <v>24.9</v>
      </c>
      <c r="I103" s="5">
        <f t="shared" si="3"/>
        <v>3.9357429718875503</v>
      </c>
      <c r="J103" s="2">
        <v>30264</v>
      </c>
    </row>
    <row r="104" spans="1:10" x14ac:dyDescent="0.3">
      <c r="A104" s="2" t="s">
        <v>10</v>
      </c>
      <c r="B104" s="2" t="s">
        <v>117</v>
      </c>
      <c r="C104" s="2" t="s">
        <v>41</v>
      </c>
      <c r="D104" s="3">
        <v>34</v>
      </c>
      <c r="E104" s="3">
        <v>100</v>
      </c>
      <c r="F104" s="3"/>
      <c r="G104" s="2" t="s">
        <v>26</v>
      </c>
      <c r="H104" s="4">
        <v>24.9</v>
      </c>
      <c r="I104" s="5">
        <f t="shared" si="3"/>
        <v>1.3654618473895583</v>
      </c>
      <c r="J104" s="2">
        <v>30264</v>
      </c>
    </row>
    <row r="105" spans="1:10" x14ac:dyDescent="0.3">
      <c r="A105" s="2" t="s">
        <v>10</v>
      </c>
      <c r="B105" s="2" t="s">
        <v>117</v>
      </c>
      <c r="C105" s="2" t="s">
        <v>40</v>
      </c>
      <c r="D105" s="3">
        <v>28</v>
      </c>
      <c r="E105" s="3">
        <v>100</v>
      </c>
      <c r="F105" s="3"/>
      <c r="G105" s="2" t="s">
        <v>118</v>
      </c>
      <c r="H105" s="4">
        <v>24.9</v>
      </c>
      <c r="I105" s="5">
        <f t="shared" si="3"/>
        <v>1.1244979919678715</v>
      </c>
      <c r="J105" s="2">
        <v>30264</v>
      </c>
    </row>
    <row r="106" spans="1:10" x14ac:dyDescent="0.3">
      <c r="A106" s="2" t="s">
        <v>10</v>
      </c>
      <c r="B106" s="2" t="s">
        <v>119</v>
      </c>
      <c r="C106" s="2" t="s">
        <v>114</v>
      </c>
      <c r="D106" s="3">
        <v>93</v>
      </c>
      <c r="E106" s="3">
        <v>450</v>
      </c>
      <c r="F106" s="3">
        <v>528.4</v>
      </c>
      <c r="G106" s="2" t="s">
        <v>39</v>
      </c>
      <c r="H106" s="4">
        <v>25.5</v>
      </c>
      <c r="I106" s="5">
        <f t="shared" si="3"/>
        <v>3.6470588235294117</v>
      </c>
      <c r="J106" s="2">
        <v>30265</v>
      </c>
    </row>
    <row r="107" spans="1:10" x14ac:dyDescent="0.3">
      <c r="A107" s="2" t="s">
        <v>10</v>
      </c>
      <c r="B107" s="2" t="s">
        <v>119</v>
      </c>
      <c r="C107" s="2" t="s">
        <v>41</v>
      </c>
      <c r="D107" s="3">
        <v>48</v>
      </c>
      <c r="E107" s="3">
        <v>100</v>
      </c>
      <c r="F107" s="3">
        <v>329.4</v>
      </c>
      <c r="G107" s="2" t="s">
        <v>120</v>
      </c>
      <c r="H107" s="4">
        <v>25.5</v>
      </c>
      <c r="I107" s="5">
        <f t="shared" si="3"/>
        <v>1.8823529411764706</v>
      </c>
      <c r="J107" s="2">
        <v>30265</v>
      </c>
    </row>
    <row r="108" spans="1:10" x14ac:dyDescent="0.3">
      <c r="A108" s="2" t="s">
        <v>10</v>
      </c>
      <c r="B108" s="2" t="s">
        <v>119</v>
      </c>
      <c r="C108" s="2" t="s">
        <v>40</v>
      </c>
      <c r="D108" s="3">
        <v>44</v>
      </c>
      <c r="E108" s="3">
        <v>100</v>
      </c>
      <c r="F108" s="3"/>
      <c r="G108" s="2" t="s">
        <v>26</v>
      </c>
      <c r="H108" s="4">
        <v>25.5</v>
      </c>
      <c r="I108" s="5">
        <f t="shared" si="3"/>
        <v>1.7254901960784315</v>
      </c>
      <c r="J108" s="2">
        <v>30265</v>
      </c>
    </row>
    <row r="109" spans="1:10" x14ac:dyDescent="0.3">
      <c r="A109" s="2" t="s">
        <v>10</v>
      </c>
      <c r="B109" s="2" t="s">
        <v>121</v>
      </c>
      <c r="C109" s="2" t="s">
        <v>12</v>
      </c>
      <c r="D109" s="3">
        <v>0</v>
      </c>
      <c r="E109" s="3"/>
      <c r="F109" s="3"/>
      <c r="G109" s="2"/>
      <c r="H109" s="4">
        <v>24.8</v>
      </c>
      <c r="I109" s="5">
        <f t="shared" si="3"/>
        <v>0</v>
      </c>
      <c r="J109" s="2">
        <v>30266</v>
      </c>
    </row>
    <row r="110" spans="1:10" x14ac:dyDescent="0.3">
      <c r="A110" s="2" t="s">
        <v>10</v>
      </c>
      <c r="B110" s="2" t="s">
        <v>122</v>
      </c>
      <c r="C110" s="2" t="s">
        <v>114</v>
      </c>
      <c r="D110" s="3">
        <v>138</v>
      </c>
      <c r="E110" s="3">
        <v>450</v>
      </c>
      <c r="F110" s="3">
        <v>528.4</v>
      </c>
      <c r="G110" s="2" t="s">
        <v>39</v>
      </c>
      <c r="H110" s="4">
        <v>26.3</v>
      </c>
      <c r="I110" s="5">
        <f t="shared" si="3"/>
        <v>5.247148288973384</v>
      </c>
      <c r="J110" s="2">
        <v>30267</v>
      </c>
    </row>
    <row r="111" spans="1:10" x14ac:dyDescent="0.3">
      <c r="A111" s="2" t="s">
        <v>10</v>
      </c>
      <c r="B111" s="2" t="s">
        <v>122</v>
      </c>
      <c r="C111" s="2" t="s">
        <v>40</v>
      </c>
      <c r="D111" s="3">
        <v>68</v>
      </c>
      <c r="E111" s="3">
        <v>120</v>
      </c>
      <c r="F111" s="3"/>
      <c r="G111" s="2" t="s">
        <v>26</v>
      </c>
      <c r="H111" s="4">
        <v>26.3</v>
      </c>
      <c r="I111" s="5">
        <f t="shared" si="3"/>
        <v>2.585551330798479</v>
      </c>
      <c r="J111" s="2">
        <v>30267</v>
      </c>
    </row>
    <row r="112" spans="1:10" x14ac:dyDescent="0.3">
      <c r="A112" s="2" t="s">
        <v>10</v>
      </c>
      <c r="B112" s="2" t="s">
        <v>122</v>
      </c>
      <c r="C112" s="2" t="s">
        <v>41</v>
      </c>
      <c r="D112" s="3">
        <v>50</v>
      </c>
      <c r="E112" s="3">
        <v>130</v>
      </c>
      <c r="F112" s="3"/>
      <c r="G112" s="2" t="s">
        <v>26</v>
      </c>
      <c r="H112" s="4">
        <v>26.3</v>
      </c>
      <c r="I112" s="5">
        <f t="shared" si="3"/>
        <v>1.9011406844106464</v>
      </c>
      <c r="J112" s="2">
        <v>30267</v>
      </c>
    </row>
    <row r="113" spans="1:10" x14ac:dyDescent="0.3">
      <c r="A113" s="2" t="s">
        <v>10</v>
      </c>
      <c r="B113" s="2" t="s">
        <v>123</v>
      </c>
      <c r="C113" s="2" t="s">
        <v>12</v>
      </c>
      <c r="D113" s="3">
        <v>0</v>
      </c>
      <c r="E113" s="3"/>
      <c r="F113" s="3"/>
      <c r="G113" s="2"/>
      <c r="H113" s="4">
        <v>25.1</v>
      </c>
      <c r="I113" s="5">
        <f t="shared" si="3"/>
        <v>0</v>
      </c>
      <c r="J113" s="2">
        <v>30268</v>
      </c>
    </row>
    <row r="114" spans="1:10" x14ac:dyDescent="0.3">
      <c r="A114" s="2" t="s">
        <v>10</v>
      </c>
      <c r="B114" s="2" t="s">
        <v>124</v>
      </c>
      <c r="C114" s="2" t="s">
        <v>12</v>
      </c>
      <c r="D114" s="3">
        <v>0</v>
      </c>
      <c r="E114" s="3"/>
      <c r="F114" s="3"/>
      <c r="G114" s="2"/>
      <c r="H114" s="4">
        <v>25.1</v>
      </c>
      <c r="I114" s="5">
        <f t="shared" si="3"/>
        <v>0</v>
      </c>
      <c r="J114" s="2">
        <v>30269</v>
      </c>
    </row>
    <row r="115" spans="1:10" x14ac:dyDescent="0.3">
      <c r="A115" s="2" t="s">
        <v>10</v>
      </c>
      <c r="B115" s="2" t="s">
        <v>125</v>
      </c>
      <c r="C115" s="2" t="s">
        <v>12</v>
      </c>
      <c r="D115" s="3">
        <v>0</v>
      </c>
      <c r="E115" s="3"/>
      <c r="F115" s="3"/>
      <c r="G115" s="2"/>
      <c r="H115" s="4">
        <v>26.6</v>
      </c>
      <c r="I115" s="5">
        <f t="shared" si="3"/>
        <v>0</v>
      </c>
      <c r="J115" s="2">
        <v>30270</v>
      </c>
    </row>
    <row r="116" spans="1:10" x14ac:dyDescent="0.3">
      <c r="A116" s="2" t="s">
        <v>10</v>
      </c>
      <c r="B116" s="2" t="s">
        <v>126</v>
      </c>
      <c r="C116" s="2" t="s">
        <v>12</v>
      </c>
      <c r="D116" s="3">
        <v>0</v>
      </c>
      <c r="E116" s="3"/>
      <c r="F116" s="3"/>
      <c r="G116" s="2"/>
      <c r="H116" s="4">
        <v>14.9</v>
      </c>
      <c r="I116" s="5">
        <f t="shared" si="3"/>
        <v>0</v>
      </c>
      <c r="J116" s="2">
        <v>30271</v>
      </c>
    </row>
    <row r="117" spans="1:10" x14ac:dyDescent="0.3">
      <c r="A117" s="2" t="s">
        <v>10</v>
      </c>
      <c r="B117" s="2" t="s">
        <v>127</v>
      </c>
      <c r="C117" s="2" t="s">
        <v>38</v>
      </c>
      <c r="D117" s="3">
        <v>111</v>
      </c>
      <c r="E117" s="3">
        <v>420</v>
      </c>
      <c r="F117" s="3">
        <v>528.4</v>
      </c>
      <c r="G117" s="2" t="s">
        <v>39</v>
      </c>
      <c r="H117" s="4">
        <v>201.2</v>
      </c>
      <c r="I117" s="5">
        <f t="shared" si="3"/>
        <v>0.55168986083499005</v>
      </c>
      <c r="J117" s="2">
        <v>11643</v>
      </c>
    </row>
    <row r="118" spans="1:10" x14ac:dyDescent="0.3">
      <c r="A118" s="2" t="s">
        <v>10</v>
      </c>
      <c r="B118" s="2" t="s">
        <v>127</v>
      </c>
      <c r="C118" s="2" t="s">
        <v>40</v>
      </c>
      <c r="D118" s="3">
        <v>109</v>
      </c>
      <c r="E118" s="3">
        <v>140</v>
      </c>
      <c r="F118" s="3"/>
      <c r="G118" s="2" t="s">
        <v>26</v>
      </c>
      <c r="H118" s="4">
        <v>201.2</v>
      </c>
      <c r="I118" s="5">
        <f t="shared" si="3"/>
        <v>0.54174950298210733</v>
      </c>
      <c r="J118" s="2">
        <v>11643</v>
      </c>
    </row>
    <row r="119" spans="1:10" x14ac:dyDescent="0.3">
      <c r="A119" s="2" t="s">
        <v>10</v>
      </c>
      <c r="B119" s="2" t="s">
        <v>127</v>
      </c>
      <c r="C119" s="2" t="s">
        <v>41</v>
      </c>
      <c r="D119" s="3">
        <v>80</v>
      </c>
      <c r="E119" s="3">
        <v>130</v>
      </c>
      <c r="F119" s="3">
        <v>329.4</v>
      </c>
      <c r="G119" s="2" t="s">
        <v>120</v>
      </c>
      <c r="H119" s="4">
        <v>201.2</v>
      </c>
      <c r="I119" s="5">
        <f t="shared" si="3"/>
        <v>0.39761431411530818</v>
      </c>
      <c r="J119" s="2">
        <v>11643</v>
      </c>
    </row>
    <row r="120" spans="1:10" x14ac:dyDescent="0.3">
      <c r="A120" s="2" t="s">
        <v>10</v>
      </c>
      <c r="B120" s="2" t="s">
        <v>128</v>
      </c>
      <c r="C120" s="2" t="s">
        <v>12</v>
      </c>
      <c r="D120" s="3">
        <v>0</v>
      </c>
      <c r="E120" s="3"/>
      <c r="F120" s="3"/>
      <c r="G120" s="2"/>
      <c r="H120" s="4">
        <v>23</v>
      </c>
      <c r="I120" s="5">
        <f t="shared" si="3"/>
        <v>0</v>
      </c>
      <c r="J120" s="2">
        <v>95965</v>
      </c>
    </row>
    <row r="121" spans="1:10" x14ac:dyDescent="0.3">
      <c r="A121" s="2" t="s">
        <v>10</v>
      </c>
      <c r="B121" s="2" t="s">
        <v>129</v>
      </c>
      <c r="C121" s="2" t="s">
        <v>12</v>
      </c>
      <c r="D121" s="3">
        <v>0</v>
      </c>
      <c r="E121" s="3"/>
      <c r="F121" s="3"/>
      <c r="G121" s="2"/>
      <c r="H121" s="4">
        <v>22.95</v>
      </c>
      <c r="I121" s="5">
        <f t="shared" si="3"/>
        <v>0</v>
      </c>
      <c r="J121" s="2">
        <v>95964</v>
      </c>
    </row>
    <row r="122" spans="1:10" x14ac:dyDescent="0.3">
      <c r="A122" s="2" t="s">
        <v>10</v>
      </c>
      <c r="B122" s="2" t="s">
        <v>130</v>
      </c>
      <c r="C122" s="2" t="s">
        <v>12</v>
      </c>
      <c r="D122" s="3">
        <v>0</v>
      </c>
      <c r="E122" s="3"/>
      <c r="F122" s="3"/>
      <c r="G122" s="2"/>
      <c r="H122" s="4">
        <v>23.05</v>
      </c>
      <c r="I122" s="5">
        <f t="shared" si="3"/>
        <v>0</v>
      </c>
      <c r="J122" s="2">
        <v>95967</v>
      </c>
    </row>
    <row r="123" spans="1:10" x14ac:dyDescent="0.3">
      <c r="A123" s="2" t="s">
        <v>10</v>
      </c>
      <c r="B123" s="2" t="s">
        <v>131</v>
      </c>
      <c r="C123" s="2" t="s">
        <v>12</v>
      </c>
      <c r="D123" s="3">
        <v>0</v>
      </c>
      <c r="E123" s="3"/>
      <c r="F123" s="3"/>
      <c r="G123" s="2"/>
      <c r="H123" s="4">
        <v>23.03</v>
      </c>
      <c r="I123" s="5">
        <f t="shared" si="3"/>
        <v>0</v>
      </c>
      <c r="J123" s="2">
        <v>95966</v>
      </c>
    </row>
    <row r="124" spans="1:10" x14ac:dyDescent="0.3">
      <c r="A124" s="2" t="s">
        <v>10</v>
      </c>
      <c r="B124" s="2" t="s">
        <v>132</v>
      </c>
      <c r="C124" s="2" t="s">
        <v>17</v>
      </c>
      <c r="D124" s="3">
        <v>136</v>
      </c>
      <c r="E124" s="3">
        <v>279</v>
      </c>
      <c r="F124" s="3">
        <v>290</v>
      </c>
      <c r="G124" s="2" t="s">
        <v>26</v>
      </c>
      <c r="H124" s="4">
        <v>23</v>
      </c>
      <c r="I124" s="5">
        <f t="shared" si="3"/>
        <v>5.9130434782608692</v>
      </c>
      <c r="J124" s="2">
        <v>95969</v>
      </c>
    </row>
    <row r="125" spans="1:10" x14ac:dyDescent="0.3">
      <c r="A125" s="2" t="s">
        <v>10</v>
      </c>
      <c r="B125" s="2" t="s">
        <v>133</v>
      </c>
      <c r="C125" s="2" t="s">
        <v>17</v>
      </c>
      <c r="D125" s="3">
        <v>115</v>
      </c>
      <c r="E125" s="3">
        <v>201</v>
      </c>
      <c r="F125" s="3">
        <v>212</v>
      </c>
      <c r="G125" s="2" t="s">
        <v>26</v>
      </c>
      <c r="H125" s="4">
        <v>23.01</v>
      </c>
      <c r="I125" s="5">
        <f t="shared" si="3"/>
        <v>4.9978270317253362</v>
      </c>
      <c r="J125" s="2">
        <v>95968</v>
      </c>
    </row>
    <row r="126" spans="1:10" x14ac:dyDescent="0.3">
      <c r="A126" s="2" t="s">
        <v>10</v>
      </c>
      <c r="B126" s="2" t="s">
        <v>134</v>
      </c>
      <c r="C126" s="2" t="s">
        <v>12</v>
      </c>
      <c r="D126" s="3">
        <v>0</v>
      </c>
      <c r="E126" s="3"/>
      <c r="F126" s="3"/>
      <c r="G126" s="2"/>
      <c r="H126" s="4">
        <v>23.02</v>
      </c>
      <c r="I126" s="5">
        <f t="shared" si="3"/>
        <v>0</v>
      </c>
      <c r="J126" s="2">
        <v>95971</v>
      </c>
    </row>
    <row r="127" spans="1:10" x14ac:dyDescent="0.3">
      <c r="A127" s="2" t="s">
        <v>10</v>
      </c>
      <c r="B127" s="2" t="s">
        <v>135</v>
      </c>
      <c r="C127" s="2" t="s">
        <v>12</v>
      </c>
      <c r="D127" s="3">
        <v>0</v>
      </c>
      <c r="E127" s="3"/>
      <c r="F127" s="3"/>
      <c r="G127" s="2"/>
      <c r="H127" s="4">
        <v>23</v>
      </c>
      <c r="I127" s="5">
        <f t="shared" si="3"/>
        <v>0</v>
      </c>
      <c r="J127" s="2">
        <v>95970</v>
      </c>
    </row>
    <row r="128" spans="1:10" x14ac:dyDescent="0.3">
      <c r="A128" s="2" t="s">
        <v>10</v>
      </c>
      <c r="B128" s="2" t="s">
        <v>136</v>
      </c>
      <c r="C128" s="2" t="s">
        <v>12</v>
      </c>
      <c r="D128" s="3">
        <v>0</v>
      </c>
      <c r="E128" s="3"/>
      <c r="F128" s="3"/>
      <c r="G128" s="2"/>
      <c r="H128" s="4">
        <v>29.97</v>
      </c>
      <c r="I128" s="5">
        <f t="shared" si="3"/>
        <v>0</v>
      </c>
      <c r="J128" s="2">
        <v>95972</v>
      </c>
    </row>
    <row r="129" spans="1:10" x14ac:dyDescent="0.3">
      <c r="A129" s="2" t="s">
        <v>10</v>
      </c>
      <c r="B129" s="2" t="s">
        <v>137</v>
      </c>
      <c r="C129" s="2" t="s">
        <v>38</v>
      </c>
      <c r="D129" s="3">
        <v>149</v>
      </c>
      <c r="E129" s="3">
        <v>450</v>
      </c>
      <c r="F129" s="3">
        <v>528.4</v>
      </c>
      <c r="G129" s="2" t="s">
        <v>39</v>
      </c>
      <c r="H129" s="4">
        <v>80.099999999999994</v>
      </c>
      <c r="I129" s="5">
        <f t="shared" si="3"/>
        <v>1.8601747815230962</v>
      </c>
      <c r="J129" s="2">
        <v>11640</v>
      </c>
    </row>
    <row r="130" spans="1:10" x14ac:dyDescent="0.3">
      <c r="A130" s="2" t="s">
        <v>10</v>
      </c>
      <c r="B130" s="2" t="s">
        <v>137</v>
      </c>
      <c r="C130" s="2" t="s">
        <v>40</v>
      </c>
      <c r="D130" s="3">
        <v>79</v>
      </c>
      <c r="E130" s="3">
        <v>120</v>
      </c>
      <c r="F130" s="3"/>
      <c r="G130" s="2" t="s">
        <v>26</v>
      </c>
      <c r="H130" s="4">
        <v>80.099999999999994</v>
      </c>
      <c r="I130" s="5">
        <f t="shared" ref="I130:I161" si="4">IF(OR(H130=0,H130=""),"",D130/H130)</f>
        <v>0.98626716604244702</v>
      </c>
      <c r="J130" s="2">
        <v>11640</v>
      </c>
    </row>
    <row r="131" spans="1:10" x14ac:dyDescent="0.3">
      <c r="A131" s="2" t="s">
        <v>10</v>
      </c>
      <c r="B131" s="2" t="s">
        <v>137</v>
      </c>
      <c r="C131" s="2" t="s">
        <v>41</v>
      </c>
      <c r="D131" s="3">
        <v>75</v>
      </c>
      <c r="E131" s="3">
        <v>115</v>
      </c>
      <c r="F131" s="3"/>
      <c r="G131" s="2" t="s">
        <v>26</v>
      </c>
      <c r="H131" s="4">
        <v>80.099999999999994</v>
      </c>
      <c r="I131" s="5">
        <f t="shared" si="4"/>
        <v>0.93632958801498134</v>
      </c>
      <c r="J131" s="2">
        <v>11640</v>
      </c>
    </row>
    <row r="132" spans="1:10" x14ac:dyDescent="0.3">
      <c r="A132" s="2" t="s">
        <v>10</v>
      </c>
      <c r="B132" s="2" t="s">
        <v>138</v>
      </c>
      <c r="C132" s="2" t="s">
        <v>12</v>
      </c>
      <c r="D132" s="3">
        <v>0</v>
      </c>
      <c r="E132" s="3"/>
      <c r="F132" s="3"/>
      <c r="G132" s="2"/>
      <c r="H132" s="4">
        <v>41.6</v>
      </c>
      <c r="I132" s="5">
        <f t="shared" si="4"/>
        <v>0</v>
      </c>
      <c r="J132" s="2">
        <v>11642</v>
      </c>
    </row>
    <row r="133" spans="1:10" x14ac:dyDescent="0.3">
      <c r="A133" s="2" t="s">
        <v>139</v>
      </c>
      <c r="B133" s="2" t="s">
        <v>140</v>
      </c>
      <c r="C133" s="2" t="s">
        <v>17</v>
      </c>
      <c r="D133" s="3">
        <v>129</v>
      </c>
      <c r="E133" s="3">
        <v>312</v>
      </c>
      <c r="F133" s="3">
        <v>430.8</v>
      </c>
      <c r="G133" s="2" t="s">
        <v>110</v>
      </c>
      <c r="H133" s="4">
        <v>16.96</v>
      </c>
      <c r="I133" s="5">
        <f t="shared" si="4"/>
        <v>7.6061320754716979</v>
      </c>
      <c r="J133" s="2">
        <v>56026</v>
      </c>
    </row>
    <row r="134" spans="1:10" x14ac:dyDescent="0.3">
      <c r="A134" s="2" t="s">
        <v>139</v>
      </c>
      <c r="B134" s="2" t="s">
        <v>141</v>
      </c>
      <c r="C134" s="2" t="s">
        <v>12</v>
      </c>
      <c r="D134" s="3">
        <v>0</v>
      </c>
      <c r="E134" s="3"/>
      <c r="F134" s="3"/>
      <c r="G134" s="2"/>
      <c r="H134" s="4">
        <v>17.12</v>
      </c>
      <c r="I134" s="5">
        <f t="shared" si="4"/>
        <v>0</v>
      </c>
      <c r="J134" s="2">
        <v>56027</v>
      </c>
    </row>
    <row r="135" spans="1:10" x14ac:dyDescent="0.3">
      <c r="A135" s="2" t="s">
        <v>139</v>
      </c>
      <c r="B135" s="2" t="s">
        <v>142</v>
      </c>
      <c r="C135" s="2" t="s">
        <v>12</v>
      </c>
      <c r="D135" s="3">
        <v>0</v>
      </c>
      <c r="E135" s="3"/>
      <c r="F135" s="3"/>
      <c r="G135" s="2"/>
      <c r="H135" s="4">
        <v>18.96</v>
      </c>
      <c r="I135" s="5">
        <f t="shared" si="4"/>
        <v>0</v>
      </c>
      <c r="J135" s="2">
        <v>56578</v>
      </c>
    </row>
    <row r="136" spans="1:10" x14ac:dyDescent="0.3">
      <c r="A136" s="2" t="s">
        <v>139</v>
      </c>
      <c r="B136" s="2" t="s">
        <v>143</v>
      </c>
      <c r="C136" s="2" t="s">
        <v>12</v>
      </c>
      <c r="D136" s="3">
        <v>0</v>
      </c>
      <c r="E136" s="3"/>
      <c r="F136" s="3"/>
      <c r="G136" s="2"/>
      <c r="H136" s="4">
        <v>19.07</v>
      </c>
      <c r="I136" s="5">
        <f t="shared" si="4"/>
        <v>0</v>
      </c>
      <c r="J136" s="2">
        <v>56579</v>
      </c>
    </row>
    <row r="137" spans="1:10" x14ac:dyDescent="0.3">
      <c r="A137" s="2" t="s">
        <v>139</v>
      </c>
      <c r="B137" s="2" t="s">
        <v>144</v>
      </c>
      <c r="C137" s="2" t="s">
        <v>12</v>
      </c>
      <c r="D137" s="3">
        <v>0</v>
      </c>
      <c r="E137" s="3"/>
      <c r="F137" s="3"/>
      <c r="G137" s="2"/>
      <c r="H137" s="4">
        <v>17.809999999999999</v>
      </c>
      <c r="I137" s="5">
        <f t="shared" si="4"/>
        <v>0</v>
      </c>
      <c r="J137" s="2">
        <v>56580</v>
      </c>
    </row>
    <row r="138" spans="1:10" x14ac:dyDescent="0.3">
      <c r="A138" s="2" t="s">
        <v>139</v>
      </c>
      <c r="B138" s="2" t="s">
        <v>145</v>
      </c>
      <c r="C138" s="2" t="s">
        <v>25</v>
      </c>
      <c r="D138" s="3">
        <v>110</v>
      </c>
      <c r="E138" s="3">
        <v>349</v>
      </c>
      <c r="F138" s="3">
        <v>439.5</v>
      </c>
      <c r="G138" s="2" t="s">
        <v>31</v>
      </c>
      <c r="H138" s="4">
        <v>16.89</v>
      </c>
      <c r="I138" s="5">
        <f t="shared" si="4"/>
        <v>6.512729425695678</v>
      </c>
      <c r="J138" s="2">
        <v>56581</v>
      </c>
    </row>
    <row r="139" spans="1:10" x14ac:dyDescent="0.3">
      <c r="A139" s="2" t="s">
        <v>139</v>
      </c>
      <c r="B139" s="2" t="s">
        <v>146</v>
      </c>
      <c r="C139" s="2" t="s">
        <v>25</v>
      </c>
      <c r="D139" s="3">
        <v>99</v>
      </c>
      <c r="E139" s="3">
        <v>387</v>
      </c>
      <c r="F139" s="3"/>
      <c r="G139" s="2" t="s">
        <v>26</v>
      </c>
      <c r="H139" s="4">
        <v>18.809999999999999</v>
      </c>
      <c r="I139" s="5">
        <f t="shared" si="4"/>
        <v>5.2631578947368425</v>
      </c>
      <c r="J139" s="2">
        <v>56582</v>
      </c>
    </row>
    <row r="140" spans="1:10" x14ac:dyDescent="0.3">
      <c r="A140" s="2" t="s">
        <v>139</v>
      </c>
      <c r="B140" s="2" t="s">
        <v>147</v>
      </c>
      <c r="C140" s="2" t="s">
        <v>12</v>
      </c>
      <c r="D140" s="3">
        <v>0</v>
      </c>
      <c r="E140" s="3"/>
      <c r="F140" s="3"/>
      <c r="G140" s="2"/>
      <c r="H140" s="4">
        <v>18.23</v>
      </c>
      <c r="I140" s="5">
        <f t="shared" si="4"/>
        <v>0</v>
      </c>
      <c r="J140" s="2">
        <v>56583</v>
      </c>
    </row>
    <row r="141" spans="1:10" x14ac:dyDescent="0.3">
      <c r="A141" s="2" t="s">
        <v>139</v>
      </c>
      <c r="B141" s="2" t="s">
        <v>148</v>
      </c>
      <c r="C141" s="2" t="s">
        <v>25</v>
      </c>
      <c r="D141" s="3">
        <v>110</v>
      </c>
      <c r="E141" s="3">
        <v>350</v>
      </c>
      <c r="F141" s="3">
        <v>450.7</v>
      </c>
      <c r="G141" s="2" t="s">
        <v>149</v>
      </c>
      <c r="H141" s="4">
        <v>17.7</v>
      </c>
      <c r="I141" s="5">
        <f t="shared" si="4"/>
        <v>6.2146892655367232</v>
      </c>
      <c r="J141" s="2">
        <v>97720</v>
      </c>
    </row>
    <row r="142" spans="1:10" x14ac:dyDescent="0.3">
      <c r="A142" s="2" t="s">
        <v>139</v>
      </c>
      <c r="B142" s="2" t="s">
        <v>150</v>
      </c>
      <c r="C142" s="2" t="s">
        <v>12</v>
      </c>
      <c r="D142" s="3">
        <v>0</v>
      </c>
      <c r="E142" s="3"/>
      <c r="F142" s="3"/>
      <c r="G142" s="2"/>
      <c r="H142" s="4">
        <v>18.09</v>
      </c>
      <c r="I142" s="5">
        <f t="shared" si="4"/>
        <v>0</v>
      </c>
      <c r="J142" s="2">
        <v>97721</v>
      </c>
    </row>
    <row r="143" spans="1:10" x14ac:dyDescent="0.3">
      <c r="A143" s="2" t="s">
        <v>139</v>
      </c>
      <c r="B143" s="2" t="s">
        <v>151</v>
      </c>
      <c r="C143" s="2" t="s">
        <v>12</v>
      </c>
      <c r="D143" s="3">
        <v>0</v>
      </c>
      <c r="E143" s="3"/>
      <c r="F143" s="3"/>
      <c r="G143" s="2"/>
      <c r="H143" s="4">
        <v>17.22</v>
      </c>
      <c r="I143" s="5">
        <f t="shared" si="4"/>
        <v>0</v>
      </c>
      <c r="J143" s="2">
        <v>97722</v>
      </c>
    </row>
    <row r="144" spans="1:10" x14ac:dyDescent="0.3">
      <c r="A144" s="2" t="s">
        <v>139</v>
      </c>
      <c r="B144" s="2" t="s">
        <v>152</v>
      </c>
      <c r="C144" s="2" t="s">
        <v>12</v>
      </c>
      <c r="D144" s="3">
        <v>0</v>
      </c>
      <c r="E144" s="3"/>
      <c r="F144" s="3"/>
      <c r="G144" s="2"/>
      <c r="H144" s="4">
        <v>16.95</v>
      </c>
      <c r="I144" s="5">
        <f t="shared" si="4"/>
        <v>0</v>
      </c>
      <c r="J144" s="2">
        <v>97723</v>
      </c>
    </row>
    <row r="145" spans="1:10" x14ac:dyDescent="0.3">
      <c r="A145" s="2" t="s">
        <v>139</v>
      </c>
      <c r="B145" s="2" t="s">
        <v>153</v>
      </c>
      <c r="C145" s="2" t="s">
        <v>12</v>
      </c>
      <c r="D145" s="3">
        <v>0</v>
      </c>
      <c r="E145" s="3"/>
      <c r="F145" s="3"/>
      <c r="G145" s="2"/>
      <c r="H145" s="4">
        <v>17.190000000000001</v>
      </c>
      <c r="I145" s="5">
        <f t="shared" si="4"/>
        <v>0</v>
      </c>
      <c r="J145" s="2">
        <v>97724</v>
      </c>
    </row>
    <row r="146" spans="1:10" x14ac:dyDescent="0.3">
      <c r="A146" s="2" t="s">
        <v>139</v>
      </c>
      <c r="B146" s="2" t="s">
        <v>154</v>
      </c>
      <c r="C146" s="2" t="s">
        <v>25</v>
      </c>
      <c r="D146" s="3">
        <v>71</v>
      </c>
      <c r="E146" s="3">
        <v>221</v>
      </c>
      <c r="F146" s="3">
        <v>233</v>
      </c>
      <c r="G146" s="2" t="s">
        <v>155</v>
      </c>
      <c r="H146" s="4">
        <v>18.59</v>
      </c>
      <c r="I146" s="5">
        <f t="shared" si="4"/>
        <v>3.8192576654115116</v>
      </c>
      <c r="J146" s="2">
        <v>97725</v>
      </c>
    </row>
    <row r="147" spans="1:10" x14ac:dyDescent="0.3">
      <c r="A147" s="2" t="s">
        <v>139</v>
      </c>
      <c r="B147" s="2" t="s">
        <v>156</v>
      </c>
      <c r="C147" s="2" t="s">
        <v>12</v>
      </c>
      <c r="D147" s="3">
        <v>0</v>
      </c>
      <c r="E147" s="3"/>
      <c r="F147" s="3"/>
      <c r="G147" s="2"/>
      <c r="H147" s="4">
        <v>16.18</v>
      </c>
      <c r="I147" s="5">
        <f t="shared" si="4"/>
        <v>0</v>
      </c>
      <c r="J147" s="2">
        <v>97726</v>
      </c>
    </row>
    <row r="148" spans="1:10" x14ac:dyDescent="0.3">
      <c r="A148" s="2" t="s">
        <v>139</v>
      </c>
      <c r="B148" s="2" t="s">
        <v>157</v>
      </c>
      <c r="C148" s="2" t="s">
        <v>25</v>
      </c>
      <c r="D148" s="3">
        <v>71</v>
      </c>
      <c r="E148" s="3">
        <v>375</v>
      </c>
      <c r="F148" s="3">
        <v>391.5</v>
      </c>
      <c r="G148" s="2" t="s">
        <v>26</v>
      </c>
      <c r="H148" s="4">
        <v>16.87</v>
      </c>
      <c r="I148" s="5">
        <f t="shared" si="4"/>
        <v>4.2086544161232959</v>
      </c>
      <c r="J148" s="2">
        <v>97727</v>
      </c>
    </row>
    <row r="149" spans="1:10" x14ac:dyDescent="0.3">
      <c r="A149" s="6" t="s">
        <v>158</v>
      </c>
      <c r="B149" s="6"/>
      <c r="C149" s="6"/>
      <c r="D149" s="7">
        <f>SUM(D2:D148)</f>
        <v>4055</v>
      </c>
      <c r="E149" s="7"/>
      <c r="F149" s="7"/>
      <c r="G149" s="6"/>
      <c r="H149" s="8">
        <f>SUM(H2:H148)</f>
        <v>4326.0399999999991</v>
      </c>
      <c r="I149" s="9">
        <f>IF(H149=0,"",D149/H149)</f>
        <v>0.93734685763423387</v>
      </c>
      <c r="J149" s="6"/>
    </row>
  </sheetData>
  <autoFilter ref="A1:J14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Normal="100" workbookViewId="0"/>
  </sheetViews>
  <sheetFormatPr defaultColWidth="8.6640625" defaultRowHeight="14.4" x14ac:dyDescent="0.3"/>
  <cols>
    <col min="1" max="2" width="12" customWidth="1"/>
    <col min="3" max="3" width="20" customWidth="1"/>
    <col min="4" max="4" width="12" customWidth="1"/>
    <col min="5" max="5" width="18" customWidth="1"/>
    <col min="6" max="6" width="22" customWidth="1"/>
  </cols>
  <sheetData>
    <row r="1" spans="1:6" ht="31.5" customHeight="1" x14ac:dyDescent="0.3">
      <c r="A1" s="1" t="s">
        <v>0</v>
      </c>
      <c r="B1" s="1" t="s">
        <v>159</v>
      </c>
      <c r="C1" s="1" t="s">
        <v>160</v>
      </c>
      <c r="D1" s="1" t="s">
        <v>3</v>
      </c>
      <c r="E1" s="1" t="s">
        <v>161</v>
      </c>
      <c r="F1" s="1" t="s">
        <v>162</v>
      </c>
    </row>
    <row r="2" spans="1:6" x14ac:dyDescent="0.3">
      <c r="A2" s="2" t="s">
        <v>10</v>
      </c>
      <c r="B2" s="2">
        <v>109</v>
      </c>
      <c r="C2" s="2">
        <v>31</v>
      </c>
      <c r="D2" s="3">
        <v>3465</v>
      </c>
      <c r="E2" s="4">
        <v>2869.4</v>
      </c>
      <c r="F2" s="5">
        <f>IF(E2=0,"",D2/E2)</f>
        <v>1.2075695267303268</v>
      </c>
    </row>
    <row r="3" spans="1:6" x14ac:dyDescent="0.3">
      <c r="A3" s="2" t="s">
        <v>139</v>
      </c>
      <c r="B3" s="2">
        <v>16</v>
      </c>
      <c r="C3" s="2">
        <v>6</v>
      </c>
      <c r="D3" s="3">
        <v>590</v>
      </c>
      <c r="E3" s="4">
        <v>282.60000000000002</v>
      </c>
      <c r="F3" s="5">
        <f>IF(E3=0,"",D3/E3)</f>
        <v>2.0877565463552723</v>
      </c>
    </row>
    <row r="4" spans="1:6" x14ac:dyDescent="0.3">
      <c r="A4" s="6" t="s">
        <v>158</v>
      </c>
      <c r="B4" s="6">
        <f>SUM(B2:B3)</f>
        <v>125</v>
      </c>
      <c r="C4" s="6">
        <f>SUM(C2:C3)</f>
        <v>37</v>
      </c>
      <c r="D4" s="7">
        <f>SUM(D2:D3)</f>
        <v>4055</v>
      </c>
      <c r="E4" s="8">
        <f>SUM(E2:E3)</f>
        <v>3152</v>
      </c>
      <c r="F4" s="9">
        <f>IF(E4=0,"",D4/E4)</f>
        <v>1.2864847715736041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2" customWidth="1"/>
    <col min="3" max="3" width="14" customWidth="1"/>
  </cols>
  <sheetData>
    <row r="1" spans="1:3" x14ac:dyDescent="0.3">
      <c r="A1" s="1" t="s">
        <v>2</v>
      </c>
      <c r="B1" s="1" t="s">
        <v>3</v>
      </c>
      <c r="C1" s="1" t="s">
        <v>163</v>
      </c>
    </row>
    <row r="2" spans="1:3" x14ac:dyDescent="0.3">
      <c r="A2" s="2" t="s">
        <v>25</v>
      </c>
      <c r="B2" s="3">
        <v>1634</v>
      </c>
      <c r="C2" s="10">
        <f t="shared" ref="C2:C8" si="0">B2/B$9</f>
        <v>0.4029593094944513</v>
      </c>
    </row>
    <row r="3" spans="1:3" x14ac:dyDescent="0.3">
      <c r="A3" s="2" t="s">
        <v>17</v>
      </c>
      <c r="B3" s="3">
        <v>659</v>
      </c>
      <c r="C3" s="10">
        <f t="shared" si="0"/>
        <v>0.16251541307028361</v>
      </c>
    </row>
    <row r="4" spans="1:3" x14ac:dyDescent="0.3">
      <c r="A4" s="2" t="s">
        <v>40</v>
      </c>
      <c r="B4" s="3">
        <v>446</v>
      </c>
      <c r="C4" s="10">
        <f t="shared" si="0"/>
        <v>0.10998766954377312</v>
      </c>
    </row>
    <row r="5" spans="1:3" x14ac:dyDescent="0.3">
      <c r="A5" s="2" t="s">
        <v>38</v>
      </c>
      <c r="B5" s="3">
        <v>437</v>
      </c>
      <c r="C5" s="10">
        <f t="shared" si="0"/>
        <v>0.10776818742293465</v>
      </c>
    </row>
    <row r="6" spans="1:3" x14ac:dyDescent="0.3">
      <c r="A6" s="2" t="s">
        <v>114</v>
      </c>
      <c r="B6" s="3">
        <v>432</v>
      </c>
      <c r="C6" s="10">
        <f t="shared" si="0"/>
        <v>0.1065351418002466</v>
      </c>
    </row>
    <row r="7" spans="1:3" x14ac:dyDescent="0.3">
      <c r="A7" s="2" t="s">
        <v>41</v>
      </c>
      <c r="B7" s="3">
        <v>424</v>
      </c>
      <c r="C7" s="10">
        <f t="shared" si="0"/>
        <v>0.10456226880394574</v>
      </c>
    </row>
    <row r="8" spans="1:3" x14ac:dyDescent="0.3">
      <c r="A8" s="2" t="s">
        <v>67</v>
      </c>
      <c r="B8" s="3">
        <v>23</v>
      </c>
      <c r="C8" s="10">
        <f t="shared" si="0"/>
        <v>5.6720098643649819E-3</v>
      </c>
    </row>
    <row r="9" spans="1:3" x14ac:dyDescent="0.3">
      <c r="A9" s="6" t="s">
        <v>158</v>
      </c>
      <c r="B9" s="7">
        <f>SUM(B2:B8)</f>
        <v>4055</v>
      </c>
      <c r="C9" s="1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Rebanho por Piquete</vt:lpstr>
      <vt:lpstr>Sumario</vt:lpstr>
      <vt:lpstr>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Menegueti Rossi</cp:lastModifiedBy>
  <cp:revision>0</cp:revision>
  <dcterms:created xsi:type="dcterms:W3CDTF">2026-04-17T13:26:48Z</dcterms:created>
  <dcterms:modified xsi:type="dcterms:W3CDTF">2026-04-17T14:59:39Z</dcterms:modified>
  <dc:language>en-US</dc:language>
</cp:coreProperties>
</file>